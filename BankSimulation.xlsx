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manal\Desktop\projects\bank_simulation\"/>
    </mc:Choice>
  </mc:AlternateContent>
  <xr:revisionPtr revIDLastSave="0" documentId="13_ncr:1_{2BBDFF1F-17F7-4B45-9E10-6D1270A5E6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Case_simulation" sheetId="1" r:id="rId1"/>
    <sheet name="Scenario_A" sheetId="5" r:id="rId2"/>
    <sheet name="Scenario_B" sheetId="6" r:id="rId3"/>
    <sheet name="parameters" sheetId="4" r:id="rId4"/>
    <sheet name="charts" sheetId="8" r:id="rId5"/>
    <sheet name="summary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5" l="1"/>
  <c r="M2" i="1"/>
  <c r="X2" i="5"/>
  <c r="W2" i="5"/>
  <c r="V2" i="5"/>
  <c r="U2" i="6"/>
  <c r="U2" i="1"/>
  <c r="T2" i="6"/>
  <c r="T2" i="1"/>
  <c r="E152" i="6"/>
  <c r="E153" i="6"/>
  <c r="E154" i="6"/>
  <c r="E155" i="6"/>
  <c r="E156" i="6"/>
  <c r="E157" i="6"/>
  <c r="E158" i="6"/>
  <c r="E159" i="6"/>
  <c r="E160" i="6"/>
  <c r="E161" i="6"/>
  <c r="D152" i="6"/>
  <c r="D153" i="6"/>
  <c r="D154" i="6"/>
  <c r="D155" i="6"/>
  <c r="D156" i="6"/>
  <c r="D157" i="6"/>
  <c r="D158" i="6"/>
  <c r="D159" i="6"/>
  <c r="D160" i="6"/>
  <c r="D161" i="6"/>
  <c r="B152" i="6"/>
  <c r="B153" i="6"/>
  <c r="B154" i="6"/>
  <c r="B155" i="6"/>
  <c r="B156" i="6"/>
  <c r="B157" i="6"/>
  <c r="B158" i="6"/>
  <c r="B159" i="6"/>
  <c r="B160" i="6"/>
  <c r="B161" i="6"/>
  <c r="E152" i="1"/>
  <c r="E153" i="1"/>
  <c r="E154" i="1"/>
  <c r="E155" i="1"/>
  <c r="E156" i="1"/>
  <c r="E157" i="1"/>
  <c r="E158" i="1"/>
  <c r="E159" i="1"/>
  <c r="E160" i="1"/>
  <c r="E161" i="1"/>
  <c r="D152" i="1"/>
  <c r="D153" i="1"/>
  <c r="D154" i="1"/>
  <c r="D155" i="1"/>
  <c r="D156" i="1"/>
  <c r="D157" i="1"/>
  <c r="D158" i="1"/>
  <c r="D159" i="1"/>
  <c r="D160" i="1"/>
  <c r="D161" i="1"/>
  <c r="B152" i="1"/>
  <c r="B153" i="1"/>
  <c r="B154" i="1"/>
  <c r="B155" i="1"/>
  <c r="B156" i="1"/>
  <c r="B157" i="1"/>
  <c r="B158" i="1"/>
  <c r="B159" i="1"/>
  <c r="B160" i="1"/>
  <c r="B161" i="1"/>
  <c r="N2" i="6"/>
  <c r="N2" i="1"/>
  <c r="O2" i="5"/>
  <c r="D2" i="6"/>
  <c r="E2" i="6"/>
  <c r="K2" i="6"/>
  <c r="Q2" i="6"/>
  <c r="R2" i="6"/>
  <c r="B3" i="6"/>
  <c r="D3" i="6"/>
  <c r="E3" i="6"/>
  <c r="B4" i="6"/>
  <c r="D4" i="6"/>
  <c r="E4" i="6"/>
  <c r="B5" i="6"/>
  <c r="D5" i="6"/>
  <c r="E5" i="6"/>
  <c r="B6" i="6"/>
  <c r="D6" i="6"/>
  <c r="E6" i="6"/>
  <c r="B7" i="6"/>
  <c r="D7" i="6"/>
  <c r="E7" i="6"/>
  <c r="B8" i="6"/>
  <c r="D8" i="6"/>
  <c r="E8" i="6"/>
  <c r="B9" i="6"/>
  <c r="D9" i="6"/>
  <c r="E9" i="6"/>
  <c r="B10" i="6"/>
  <c r="D10" i="6"/>
  <c r="E10" i="6"/>
  <c r="B11" i="6"/>
  <c r="D11" i="6"/>
  <c r="E11" i="6"/>
  <c r="B12" i="6"/>
  <c r="D12" i="6"/>
  <c r="E12" i="6"/>
  <c r="B13" i="6"/>
  <c r="D13" i="6"/>
  <c r="E13" i="6"/>
  <c r="B14" i="6"/>
  <c r="D14" i="6"/>
  <c r="E14" i="6"/>
  <c r="B15" i="6"/>
  <c r="D15" i="6"/>
  <c r="E15" i="6"/>
  <c r="B16" i="6"/>
  <c r="D16" i="6"/>
  <c r="E16" i="6"/>
  <c r="B17" i="6"/>
  <c r="D17" i="6"/>
  <c r="E17" i="6"/>
  <c r="B18" i="6"/>
  <c r="D18" i="6"/>
  <c r="E18" i="6"/>
  <c r="B19" i="6"/>
  <c r="D19" i="6"/>
  <c r="E19" i="6"/>
  <c r="B20" i="6"/>
  <c r="D20" i="6"/>
  <c r="E20" i="6"/>
  <c r="B21" i="6"/>
  <c r="D21" i="6"/>
  <c r="E21" i="6"/>
  <c r="B22" i="6"/>
  <c r="D22" i="6"/>
  <c r="E22" i="6"/>
  <c r="B23" i="6"/>
  <c r="D23" i="6"/>
  <c r="E23" i="6"/>
  <c r="B24" i="6"/>
  <c r="D24" i="6"/>
  <c r="E24" i="6"/>
  <c r="B25" i="6"/>
  <c r="D25" i="6"/>
  <c r="E25" i="6"/>
  <c r="B26" i="6"/>
  <c r="D26" i="6"/>
  <c r="E26" i="6"/>
  <c r="B27" i="6"/>
  <c r="D27" i="6"/>
  <c r="E27" i="6"/>
  <c r="B28" i="6"/>
  <c r="D28" i="6"/>
  <c r="E28" i="6"/>
  <c r="B29" i="6"/>
  <c r="D29" i="6"/>
  <c r="E29" i="6"/>
  <c r="B30" i="6"/>
  <c r="D30" i="6"/>
  <c r="E30" i="6"/>
  <c r="B31" i="6"/>
  <c r="D31" i="6"/>
  <c r="E31" i="6"/>
  <c r="B32" i="6"/>
  <c r="D32" i="6"/>
  <c r="E32" i="6"/>
  <c r="B33" i="6"/>
  <c r="D33" i="6"/>
  <c r="E33" i="6"/>
  <c r="B34" i="6"/>
  <c r="D34" i="6"/>
  <c r="E34" i="6"/>
  <c r="B35" i="6"/>
  <c r="D35" i="6"/>
  <c r="E35" i="6"/>
  <c r="B36" i="6"/>
  <c r="D36" i="6"/>
  <c r="E36" i="6"/>
  <c r="B37" i="6"/>
  <c r="D37" i="6"/>
  <c r="E37" i="6"/>
  <c r="B38" i="6"/>
  <c r="D38" i="6"/>
  <c r="E38" i="6"/>
  <c r="B39" i="6"/>
  <c r="D39" i="6"/>
  <c r="E39" i="6"/>
  <c r="B40" i="6"/>
  <c r="D40" i="6"/>
  <c r="E40" i="6"/>
  <c r="B41" i="6"/>
  <c r="D41" i="6"/>
  <c r="E41" i="6"/>
  <c r="B42" i="6"/>
  <c r="D42" i="6"/>
  <c r="E42" i="6"/>
  <c r="B43" i="6"/>
  <c r="D43" i="6"/>
  <c r="E43" i="6"/>
  <c r="B44" i="6"/>
  <c r="D44" i="6"/>
  <c r="E44" i="6"/>
  <c r="B45" i="6"/>
  <c r="D45" i="6"/>
  <c r="E45" i="6"/>
  <c r="B46" i="6"/>
  <c r="D46" i="6"/>
  <c r="E46" i="6"/>
  <c r="B47" i="6"/>
  <c r="D47" i="6"/>
  <c r="E47" i="6"/>
  <c r="B48" i="6"/>
  <c r="D48" i="6"/>
  <c r="E48" i="6"/>
  <c r="B49" i="6"/>
  <c r="D49" i="6"/>
  <c r="E49" i="6"/>
  <c r="B50" i="6"/>
  <c r="D50" i="6"/>
  <c r="E50" i="6"/>
  <c r="B51" i="6"/>
  <c r="D51" i="6"/>
  <c r="E51" i="6"/>
  <c r="B52" i="6"/>
  <c r="D52" i="6"/>
  <c r="E52" i="6"/>
  <c r="B53" i="6"/>
  <c r="D53" i="6"/>
  <c r="E53" i="6"/>
  <c r="B54" i="6"/>
  <c r="D54" i="6"/>
  <c r="E54" i="6"/>
  <c r="B55" i="6"/>
  <c r="D55" i="6"/>
  <c r="E55" i="6"/>
  <c r="B56" i="6"/>
  <c r="D56" i="6"/>
  <c r="E56" i="6"/>
  <c r="B57" i="6"/>
  <c r="D57" i="6"/>
  <c r="E57" i="6"/>
  <c r="B58" i="6"/>
  <c r="D58" i="6"/>
  <c r="E58" i="6"/>
  <c r="B59" i="6"/>
  <c r="D59" i="6"/>
  <c r="E59" i="6"/>
  <c r="B60" i="6"/>
  <c r="D60" i="6"/>
  <c r="E60" i="6"/>
  <c r="B61" i="6"/>
  <c r="D61" i="6"/>
  <c r="E61" i="6"/>
  <c r="B62" i="6"/>
  <c r="D62" i="6"/>
  <c r="E62" i="6"/>
  <c r="B63" i="6"/>
  <c r="D63" i="6"/>
  <c r="E63" i="6"/>
  <c r="B64" i="6"/>
  <c r="D64" i="6"/>
  <c r="E64" i="6"/>
  <c r="B65" i="6"/>
  <c r="D65" i="6"/>
  <c r="E65" i="6"/>
  <c r="B66" i="6"/>
  <c r="D66" i="6"/>
  <c r="E66" i="6"/>
  <c r="B67" i="6"/>
  <c r="D67" i="6"/>
  <c r="E67" i="6"/>
  <c r="B68" i="6"/>
  <c r="D68" i="6"/>
  <c r="E68" i="6"/>
  <c r="B69" i="6"/>
  <c r="D69" i="6"/>
  <c r="E69" i="6"/>
  <c r="B70" i="6"/>
  <c r="D70" i="6"/>
  <c r="E70" i="6"/>
  <c r="B71" i="6"/>
  <c r="D71" i="6"/>
  <c r="E71" i="6"/>
  <c r="B72" i="6"/>
  <c r="D72" i="6"/>
  <c r="E72" i="6"/>
  <c r="B73" i="6"/>
  <c r="D73" i="6"/>
  <c r="E73" i="6"/>
  <c r="B74" i="6"/>
  <c r="D74" i="6"/>
  <c r="E74" i="6"/>
  <c r="B75" i="6"/>
  <c r="D75" i="6"/>
  <c r="E75" i="6"/>
  <c r="B76" i="6"/>
  <c r="D76" i="6"/>
  <c r="E76" i="6"/>
  <c r="B77" i="6"/>
  <c r="D77" i="6"/>
  <c r="E77" i="6"/>
  <c r="B78" i="6"/>
  <c r="D78" i="6"/>
  <c r="E78" i="6"/>
  <c r="B79" i="6"/>
  <c r="D79" i="6"/>
  <c r="E79" i="6"/>
  <c r="B80" i="6"/>
  <c r="D80" i="6"/>
  <c r="E80" i="6"/>
  <c r="B81" i="6"/>
  <c r="D81" i="6"/>
  <c r="E81" i="6"/>
  <c r="B82" i="6"/>
  <c r="D82" i="6"/>
  <c r="E82" i="6"/>
  <c r="B83" i="6"/>
  <c r="D83" i="6"/>
  <c r="E83" i="6"/>
  <c r="B84" i="6"/>
  <c r="D84" i="6"/>
  <c r="E84" i="6"/>
  <c r="B85" i="6"/>
  <c r="D85" i="6"/>
  <c r="E85" i="6"/>
  <c r="B86" i="6"/>
  <c r="D86" i="6"/>
  <c r="E86" i="6"/>
  <c r="B87" i="6"/>
  <c r="D87" i="6"/>
  <c r="E87" i="6"/>
  <c r="B88" i="6"/>
  <c r="D88" i="6"/>
  <c r="E88" i="6"/>
  <c r="B89" i="6"/>
  <c r="D89" i="6"/>
  <c r="E89" i="6"/>
  <c r="B90" i="6"/>
  <c r="D90" i="6"/>
  <c r="E90" i="6"/>
  <c r="B91" i="6"/>
  <c r="D91" i="6"/>
  <c r="E91" i="6"/>
  <c r="B92" i="6"/>
  <c r="D92" i="6"/>
  <c r="E92" i="6"/>
  <c r="B93" i="6"/>
  <c r="D93" i="6"/>
  <c r="E93" i="6"/>
  <c r="B94" i="6"/>
  <c r="D94" i="6"/>
  <c r="E94" i="6"/>
  <c r="B95" i="6"/>
  <c r="D95" i="6"/>
  <c r="E95" i="6"/>
  <c r="B96" i="6"/>
  <c r="D96" i="6"/>
  <c r="E96" i="6"/>
  <c r="B97" i="6"/>
  <c r="D97" i="6"/>
  <c r="E97" i="6"/>
  <c r="B98" i="6"/>
  <c r="D98" i="6"/>
  <c r="E98" i="6"/>
  <c r="B99" i="6"/>
  <c r="D99" i="6"/>
  <c r="E99" i="6"/>
  <c r="B100" i="6"/>
  <c r="D100" i="6"/>
  <c r="E100" i="6"/>
  <c r="B101" i="6"/>
  <c r="D101" i="6"/>
  <c r="E101" i="6"/>
  <c r="B102" i="6"/>
  <c r="D102" i="6"/>
  <c r="E102" i="6"/>
  <c r="B103" i="6"/>
  <c r="D103" i="6"/>
  <c r="E103" i="6"/>
  <c r="B104" i="6"/>
  <c r="D104" i="6"/>
  <c r="E104" i="6"/>
  <c r="B105" i="6"/>
  <c r="D105" i="6"/>
  <c r="E105" i="6"/>
  <c r="B106" i="6"/>
  <c r="D106" i="6"/>
  <c r="E106" i="6"/>
  <c r="B107" i="6"/>
  <c r="D107" i="6"/>
  <c r="E107" i="6"/>
  <c r="B108" i="6"/>
  <c r="D108" i="6"/>
  <c r="E108" i="6"/>
  <c r="B109" i="6"/>
  <c r="D109" i="6"/>
  <c r="E109" i="6"/>
  <c r="B110" i="6"/>
  <c r="D110" i="6"/>
  <c r="E110" i="6"/>
  <c r="B111" i="6"/>
  <c r="D111" i="6"/>
  <c r="E111" i="6"/>
  <c r="B112" i="6"/>
  <c r="D112" i="6"/>
  <c r="E112" i="6"/>
  <c r="B113" i="6"/>
  <c r="D113" i="6"/>
  <c r="E113" i="6"/>
  <c r="B114" i="6"/>
  <c r="D114" i="6"/>
  <c r="E114" i="6"/>
  <c r="B115" i="6"/>
  <c r="D115" i="6"/>
  <c r="E115" i="6"/>
  <c r="B116" i="6"/>
  <c r="D116" i="6"/>
  <c r="E116" i="6"/>
  <c r="B117" i="6"/>
  <c r="D117" i="6"/>
  <c r="E117" i="6"/>
  <c r="B118" i="6"/>
  <c r="D118" i="6"/>
  <c r="E118" i="6"/>
  <c r="B119" i="6"/>
  <c r="D119" i="6"/>
  <c r="E119" i="6"/>
  <c r="B120" i="6"/>
  <c r="D120" i="6"/>
  <c r="E120" i="6"/>
  <c r="B121" i="6"/>
  <c r="D121" i="6"/>
  <c r="E121" i="6"/>
  <c r="B122" i="6"/>
  <c r="D122" i="6"/>
  <c r="E122" i="6"/>
  <c r="B123" i="6"/>
  <c r="D123" i="6"/>
  <c r="E123" i="6"/>
  <c r="B124" i="6"/>
  <c r="D124" i="6"/>
  <c r="E124" i="6"/>
  <c r="B125" i="6"/>
  <c r="D125" i="6"/>
  <c r="E125" i="6"/>
  <c r="B126" i="6"/>
  <c r="D126" i="6"/>
  <c r="E126" i="6"/>
  <c r="B127" i="6"/>
  <c r="D127" i="6"/>
  <c r="E127" i="6"/>
  <c r="B128" i="6"/>
  <c r="D128" i="6"/>
  <c r="E128" i="6"/>
  <c r="B129" i="6"/>
  <c r="D129" i="6"/>
  <c r="E129" i="6"/>
  <c r="B130" i="6"/>
  <c r="D130" i="6"/>
  <c r="E130" i="6"/>
  <c r="B131" i="6"/>
  <c r="D131" i="6"/>
  <c r="E131" i="6"/>
  <c r="B132" i="6"/>
  <c r="D132" i="6"/>
  <c r="E132" i="6"/>
  <c r="B133" i="6"/>
  <c r="D133" i="6"/>
  <c r="E133" i="6"/>
  <c r="B134" i="6"/>
  <c r="D134" i="6"/>
  <c r="E134" i="6"/>
  <c r="B135" i="6"/>
  <c r="D135" i="6"/>
  <c r="E135" i="6"/>
  <c r="B136" i="6"/>
  <c r="D136" i="6"/>
  <c r="E136" i="6"/>
  <c r="B137" i="6"/>
  <c r="D137" i="6"/>
  <c r="E137" i="6"/>
  <c r="B138" i="6"/>
  <c r="D138" i="6"/>
  <c r="E138" i="6"/>
  <c r="B139" i="6"/>
  <c r="D139" i="6"/>
  <c r="E139" i="6"/>
  <c r="B140" i="6"/>
  <c r="D140" i="6"/>
  <c r="E140" i="6"/>
  <c r="B141" i="6"/>
  <c r="D141" i="6"/>
  <c r="E141" i="6"/>
  <c r="B142" i="6"/>
  <c r="D142" i="6"/>
  <c r="E142" i="6"/>
  <c r="B143" i="6"/>
  <c r="D143" i="6"/>
  <c r="E143" i="6"/>
  <c r="B144" i="6"/>
  <c r="D144" i="6"/>
  <c r="E144" i="6"/>
  <c r="B145" i="6"/>
  <c r="D145" i="6"/>
  <c r="E145" i="6"/>
  <c r="B146" i="6"/>
  <c r="D146" i="6"/>
  <c r="E146" i="6"/>
  <c r="B147" i="6"/>
  <c r="D147" i="6"/>
  <c r="E147" i="6"/>
  <c r="B148" i="6"/>
  <c r="D148" i="6"/>
  <c r="E148" i="6"/>
  <c r="B149" i="6"/>
  <c r="D149" i="6"/>
  <c r="E149" i="6"/>
  <c r="B150" i="6"/>
  <c r="D150" i="6"/>
  <c r="E150" i="6"/>
  <c r="B151" i="6"/>
  <c r="D151" i="6"/>
  <c r="E151" i="6"/>
  <c r="D2" i="5"/>
  <c r="E2" i="5"/>
  <c r="L2" i="5"/>
  <c r="R2" i="5"/>
  <c r="S2" i="5"/>
  <c r="T2" i="5"/>
  <c r="B3" i="5"/>
  <c r="D3" i="5"/>
  <c r="E3" i="5"/>
  <c r="B4" i="5"/>
  <c r="D4" i="5"/>
  <c r="E4" i="5"/>
  <c r="B5" i="5"/>
  <c r="D5" i="5"/>
  <c r="E5" i="5"/>
  <c r="B6" i="5"/>
  <c r="D6" i="5"/>
  <c r="E6" i="5"/>
  <c r="B7" i="5"/>
  <c r="D7" i="5"/>
  <c r="E7" i="5"/>
  <c r="B8" i="5"/>
  <c r="D8" i="5"/>
  <c r="E8" i="5"/>
  <c r="B9" i="5"/>
  <c r="D9" i="5"/>
  <c r="E9" i="5"/>
  <c r="B10" i="5"/>
  <c r="D10" i="5"/>
  <c r="E10" i="5"/>
  <c r="B11" i="5"/>
  <c r="D11" i="5"/>
  <c r="E11" i="5"/>
  <c r="B12" i="5"/>
  <c r="D12" i="5"/>
  <c r="E12" i="5"/>
  <c r="B13" i="5"/>
  <c r="D13" i="5"/>
  <c r="E13" i="5"/>
  <c r="B14" i="5"/>
  <c r="D14" i="5"/>
  <c r="E14" i="5"/>
  <c r="B15" i="5"/>
  <c r="D15" i="5"/>
  <c r="E15" i="5"/>
  <c r="B16" i="5"/>
  <c r="D16" i="5"/>
  <c r="E16" i="5"/>
  <c r="B17" i="5"/>
  <c r="D17" i="5"/>
  <c r="E17" i="5"/>
  <c r="B18" i="5"/>
  <c r="D18" i="5"/>
  <c r="E18" i="5"/>
  <c r="B19" i="5"/>
  <c r="D19" i="5"/>
  <c r="E19" i="5"/>
  <c r="B20" i="5"/>
  <c r="D20" i="5"/>
  <c r="E20" i="5"/>
  <c r="B21" i="5"/>
  <c r="D21" i="5"/>
  <c r="E21" i="5"/>
  <c r="B22" i="5"/>
  <c r="D22" i="5"/>
  <c r="E22" i="5"/>
  <c r="B23" i="5"/>
  <c r="D23" i="5"/>
  <c r="E23" i="5"/>
  <c r="B24" i="5"/>
  <c r="D24" i="5"/>
  <c r="E24" i="5"/>
  <c r="B25" i="5"/>
  <c r="D25" i="5"/>
  <c r="E25" i="5"/>
  <c r="B26" i="5"/>
  <c r="D26" i="5"/>
  <c r="E26" i="5"/>
  <c r="B27" i="5"/>
  <c r="D27" i="5"/>
  <c r="E27" i="5"/>
  <c r="B28" i="5"/>
  <c r="D28" i="5"/>
  <c r="E28" i="5"/>
  <c r="B29" i="5"/>
  <c r="D29" i="5"/>
  <c r="E29" i="5"/>
  <c r="B30" i="5"/>
  <c r="D30" i="5"/>
  <c r="E30" i="5"/>
  <c r="B31" i="5"/>
  <c r="D31" i="5"/>
  <c r="E31" i="5"/>
  <c r="B32" i="5"/>
  <c r="D32" i="5"/>
  <c r="E32" i="5"/>
  <c r="B33" i="5"/>
  <c r="D33" i="5"/>
  <c r="E33" i="5"/>
  <c r="B34" i="5"/>
  <c r="D34" i="5"/>
  <c r="E34" i="5"/>
  <c r="B35" i="5"/>
  <c r="D35" i="5"/>
  <c r="E35" i="5"/>
  <c r="B36" i="5"/>
  <c r="D36" i="5"/>
  <c r="E36" i="5"/>
  <c r="B37" i="5"/>
  <c r="D37" i="5"/>
  <c r="E37" i="5"/>
  <c r="B38" i="5"/>
  <c r="D38" i="5"/>
  <c r="E38" i="5"/>
  <c r="B39" i="5"/>
  <c r="D39" i="5"/>
  <c r="E39" i="5"/>
  <c r="B40" i="5"/>
  <c r="D40" i="5"/>
  <c r="E40" i="5"/>
  <c r="B41" i="5"/>
  <c r="D41" i="5"/>
  <c r="E41" i="5"/>
  <c r="B42" i="5"/>
  <c r="D42" i="5"/>
  <c r="E42" i="5"/>
  <c r="B43" i="5"/>
  <c r="D43" i="5"/>
  <c r="E43" i="5"/>
  <c r="B44" i="5"/>
  <c r="D44" i="5"/>
  <c r="E44" i="5"/>
  <c r="B45" i="5"/>
  <c r="D45" i="5"/>
  <c r="E45" i="5"/>
  <c r="B46" i="5"/>
  <c r="D46" i="5"/>
  <c r="E46" i="5"/>
  <c r="B47" i="5"/>
  <c r="D47" i="5"/>
  <c r="E47" i="5"/>
  <c r="B48" i="5"/>
  <c r="D48" i="5"/>
  <c r="E48" i="5"/>
  <c r="B49" i="5"/>
  <c r="D49" i="5"/>
  <c r="E49" i="5"/>
  <c r="B50" i="5"/>
  <c r="D50" i="5"/>
  <c r="E50" i="5"/>
  <c r="B51" i="5"/>
  <c r="D51" i="5"/>
  <c r="E51" i="5"/>
  <c r="B52" i="5"/>
  <c r="D52" i="5"/>
  <c r="E52" i="5"/>
  <c r="B53" i="5"/>
  <c r="D53" i="5"/>
  <c r="E53" i="5"/>
  <c r="B54" i="5"/>
  <c r="D54" i="5"/>
  <c r="E54" i="5"/>
  <c r="B55" i="5"/>
  <c r="D55" i="5"/>
  <c r="E55" i="5"/>
  <c r="B56" i="5"/>
  <c r="D56" i="5"/>
  <c r="E56" i="5"/>
  <c r="B57" i="5"/>
  <c r="D57" i="5"/>
  <c r="E57" i="5"/>
  <c r="B58" i="5"/>
  <c r="D58" i="5"/>
  <c r="E58" i="5"/>
  <c r="B59" i="5"/>
  <c r="D59" i="5"/>
  <c r="E59" i="5"/>
  <c r="B60" i="5"/>
  <c r="D60" i="5"/>
  <c r="E60" i="5"/>
  <c r="B61" i="5"/>
  <c r="D61" i="5"/>
  <c r="E61" i="5"/>
  <c r="B62" i="5"/>
  <c r="D62" i="5"/>
  <c r="E62" i="5"/>
  <c r="B63" i="5"/>
  <c r="D63" i="5"/>
  <c r="E63" i="5"/>
  <c r="B64" i="5"/>
  <c r="D64" i="5"/>
  <c r="E64" i="5"/>
  <c r="B65" i="5"/>
  <c r="D65" i="5"/>
  <c r="E65" i="5"/>
  <c r="B66" i="5"/>
  <c r="D66" i="5"/>
  <c r="E66" i="5"/>
  <c r="B67" i="5"/>
  <c r="D67" i="5"/>
  <c r="E67" i="5"/>
  <c r="B68" i="5"/>
  <c r="D68" i="5"/>
  <c r="E68" i="5"/>
  <c r="B69" i="5"/>
  <c r="D69" i="5"/>
  <c r="E69" i="5"/>
  <c r="B70" i="5"/>
  <c r="D70" i="5"/>
  <c r="E70" i="5"/>
  <c r="B71" i="5"/>
  <c r="D71" i="5"/>
  <c r="E71" i="5"/>
  <c r="B72" i="5"/>
  <c r="D72" i="5"/>
  <c r="E72" i="5"/>
  <c r="B73" i="5"/>
  <c r="D73" i="5"/>
  <c r="E73" i="5"/>
  <c r="B74" i="5"/>
  <c r="D74" i="5"/>
  <c r="E74" i="5"/>
  <c r="B75" i="5"/>
  <c r="D75" i="5"/>
  <c r="E75" i="5"/>
  <c r="B76" i="5"/>
  <c r="D76" i="5"/>
  <c r="E76" i="5"/>
  <c r="B77" i="5"/>
  <c r="D77" i="5"/>
  <c r="E77" i="5"/>
  <c r="B78" i="5"/>
  <c r="D78" i="5"/>
  <c r="E78" i="5"/>
  <c r="B79" i="5"/>
  <c r="D79" i="5"/>
  <c r="E79" i="5"/>
  <c r="B80" i="5"/>
  <c r="D80" i="5"/>
  <c r="E80" i="5"/>
  <c r="B81" i="5"/>
  <c r="D81" i="5"/>
  <c r="E81" i="5"/>
  <c r="B82" i="5"/>
  <c r="D82" i="5"/>
  <c r="E82" i="5"/>
  <c r="B83" i="5"/>
  <c r="D83" i="5"/>
  <c r="E83" i="5"/>
  <c r="B84" i="5"/>
  <c r="D84" i="5"/>
  <c r="E84" i="5"/>
  <c r="B85" i="5"/>
  <c r="D85" i="5"/>
  <c r="E85" i="5"/>
  <c r="B86" i="5"/>
  <c r="D86" i="5"/>
  <c r="E86" i="5"/>
  <c r="B87" i="5"/>
  <c r="D87" i="5"/>
  <c r="E87" i="5"/>
  <c r="B88" i="5"/>
  <c r="D88" i="5"/>
  <c r="E88" i="5"/>
  <c r="B89" i="5"/>
  <c r="D89" i="5"/>
  <c r="E89" i="5"/>
  <c r="B90" i="5"/>
  <c r="D90" i="5"/>
  <c r="E90" i="5"/>
  <c r="B91" i="5"/>
  <c r="D91" i="5"/>
  <c r="E91" i="5"/>
  <c r="B92" i="5"/>
  <c r="D92" i="5"/>
  <c r="E92" i="5"/>
  <c r="B93" i="5"/>
  <c r="D93" i="5"/>
  <c r="E93" i="5"/>
  <c r="B94" i="5"/>
  <c r="D94" i="5"/>
  <c r="E94" i="5"/>
  <c r="B95" i="5"/>
  <c r="D95" i="5"/>
  <c r="E95" i="5"/>
  <c r="B96" i="5"/>
  <c r="D96" i="5"/>
  <c r="E96" i="5"/>
  <c r="B97" i="5"/>
  <c r="D97" i="5"/>
  <c r="E97" i="5"/>
  <c r="B98" i="5"/>
  <c r="D98" i="5"/>
  <c r="E98" i="5"/>
  <c r="B99" i="5"/>
  <c r="D99" i="5"/>
  <c r="E99" i="5"/>
  <c r="B100" i="5"/>
  <c r="D100" i="5"/>
  <c r="E100" i="5"/>
  <c r="B101" i="5"/>
  <c r="D101" i="5"/>
  <c r="E101" i="5"/>
  <c r="B102" i="5"/>
  <c r="D102" i="5"/>
  <c r="E102" i="5"/>
  <c r="B103" i="5"/>
  <c r="D103" i="5"/>
  <c r="E103" i="5"/>
  <c r="B104" i="5"/>
  <c r="D104" i="5"/>
  <c r="E104" i="5"/>
  <c r="B105" i="5"/>
  <c r="D105" i="5"/>
  <c r="E105" i="5"/>
  <c r="B106" i="5"/>
  <c r="D106" i="5"/>
  <c r="E106" i="5"/>
  <c r="B107" i="5"/>
  <c r="D107" i="5"/>
  <c r="E107" i="5"/>
  <c r="B108" i="5"/>
  <c r="D108" i="5"/>
  <c r="E108" i="5"/>
  <c r="B109" i="5"/>
  <c r="D109" i="5"/>
  <c r="E109" i="5"/>
  <c r="B110" i="5"/>
  <c r="D110" i="5"/>
  <c r="E110" i="5"/>
  <c r="B111" i="5"/>
  <c r="D111" i="5"/>
  <c r="E111" i="5"/>
  <c r="B112" i="5"/>
  <c r="D112" i="5"/>
  <c r="E112" i="5"/>
  <c r="B113" i="5"/>
  <c r="D113" i="5"/>
  <c r="E113" i="5"/>
  <c r="B114" i="5"/>
  <c r="D114" i="5"/>
  <c r="E114" i="5"/>
  <c r="B115" i="5"/>
  <c r="D115" i="5"/>
  <c r="E115" i="5"/>
  <c r="B116" i="5"/>
  <c r="D116" i="5"/>
  <c r="E116" i="5"/>
  <c r="B117" i="5"/>
  <c r="D117" i="5"/>
  <c r="E117" i="5"/>
  <c r="B118" i="5"/>
  <c r="D118" i="5"/>
  <c r="E118" i="5"/>
  <c r="B119" i="5"/>
  <c r="D119" i="5"/>
  <c r="E119" i="5"/>
  <c r="B120" i="5"/>
  <c r="D120" i="5"/>
  <c r="E120" i="5"/>
  <c r="B121" i="5"/>
  <c r="D121" i="5"/>
  <c r="E121" i="5"/>
  <c r="B122" i="5"/>
  <c r="D122" i="5"/>
  <c r="E122" i="5"/>
  <c r="B123" i="5"/>
  <c r="D123" i="5"/>
  <c r="E123" i="5"/>
  <c r="B124" i="5"/>
  <c r="D124" i="5"/>
  <c r="E124" i="5"/>
  <c r="B125" i="5"/>
  <c r="D125" i="5"/>
  <c r="E125" i="5"/>
  <c r="B126" i="5"/>
  <c r="D126" i="5"/>
  <c r="E126" i="5"/>
  <c r="B127" i="5"/>
  <c r="D127" i="5"/>
  <c r="E127" i="5"/>
  <c r="B128" i="5"/>
  <c r="D128" i="5"/>
  <c r="E128" i="5"/>
  <c r="B129" i="5"/>
  <c r="D129" i="5"/>
  <c r="E129" i="5"/>
  <c r="B130" i="5"/>
  <c r="D130" i="5"/>
  <c r="E130" i="5"/>
  <c r="B131" i="5"/>
  <c r="D131" i="5"/>
  <c r="E131" i="5"/>
  <c r="B132" i="5"/>
  <c r="D132" i="5"/>
  <c r="E132" i="5"/>
  <c r="B133" i="5"/>
  <c r="D133" i="5"/>
  <c r="E133" i="5"/>
  <c r="B134" i="5"/>
  <c r="D134" i="5"/>
  <c r="E134" i="5"/>
  <c r="B135" i="5"/>
  <c r="D135" i="5"/>
  <c r="E135" i="5"/>
  <c r="B136" i="5"/>
  <c r="D136" i="5"/>
  <c r="E136" i="5"/>
  <c r="B137" i="5"/>
  <c r="D137" i="5"/>
  <c r="E137" i="5"/>
  <c r="B138" i="5"/>
  <c r="D138" i="5"/>
  <c r="E138" i="5"/>
  <c r="B139" i="5"/>
  <c r="D139" i="5"/>
  <c r="E139" i="5"/>
  <c r="B140" i="5"/>
  <c r="D140" i="5"/>
  <c r="E140" i="5"/>
  <c r="B141" i="5"/>
  <c r="D141" i="5"/>
  <c r="E141" i="5"/>
  <c r="B142" i="5"/>
  <c r="D142" i="5"/>
  <c r="E142" i="5"/>
  <c r="B143" i="5"/>
  <c r="D143" i="5"/>
  <c r="E143" i="5"/>
  <c r="B144" i="5"/>
  <c r="D144" i="5"/>
  <c r="E144" i="5"/>
  <c r="B145" i="5"/>
  <c r="D145" i="5"/>
  <c r="E145" i="5"/>
  <c r="B146" i="5"/>
  <c r="D146" i="5"/>
  <c r="E146" i="5"/>
  <c r="B147" i="5"/>
  <c r="D147" i="5"/>
  <c r="E147" i="5"/>
  <c r="B148" i="5"/>
  <c r="D148" i="5"/>
  <c r="E148" i="5"/>
  <c r="B149" i="5"/>
  <c r="D149" i="5"/>
  <c r="E149" i="5"/>
  <c r="B150" i="5"/>
  <c r="D150" i="5"/>
  <c r="E150" i="5"/>
  <c r="B151" i="5"/>
  <c r="D151" i="5"/>
  <c r="E151" i="5"/>
  <c r="E151" i="1"/>
  <c r="D151" i="1"/>
  <c r="B151" i="1"/>
  <c r="E150" i="1"/>
  <c r="D150" i="1"/>
  <c r="B150" i="1"/>
  <c r="E149" i="1"/>
  <c r="D149" i="1"/>
  <c r="B149" i="1"/>
  <c r="E148" i="1"/>
  <c r="D148" i="1"/>
  <c r="B148" i="1"/>
  <c r="E147" i="1"/>
  <c r="D147" i="1"/>
  <c r="B147" i="1"/>
  <c r="E146" i="1"/>
  <c r="D146" i="1"/>
  <c r="B146" i="1"/>
  <c r="E145" i="1"/>
  <c r="D145" i="1"/>
  <c r="B145" i="1"/>
  <c r="E144" i="1"/>
  <c r="D144" i="1"/>
  <c r="B144" i="1"/>
  <c r="E143" i="1"/>
  <c r="D143" i="1"/>
  <c r="B143" i="1"/>
  <c r="E142" i="1"/>
  <c r="D142" i="1"/>
  <c r="B142" i="1"/>
  <c r="E141" i="1"/>
  <c r="D141" i="1"/>
  <c r="B141" i="1"/>
  <c r="E140" i="1"/>
  <c r="D140" i="1"/>
  <c r="B140" i="1"/>
  <c r="E139" i="1"/>
  <c r="D139" i="1"/>
  <c r="B139" i="1"/>
  <c r="E138" i="1"/>
  <c r="D138" i="1"/>
  <c r="B138" i="1"/>
  <c r="E137" i="1"/>
  <c r="D137" i="1"/>
  <c r="B137" i="1"/>
  <c r="E136" i="1"/>
  <c r="D136" i="1"/>
  <c r="B136" i="1"/>
  <c r="E135" i="1"/>
  <c r="D135" i="1"/>
  <c r="B135" i="1"/>
  <c r="E134" i="1"/>
  <c r="D134" i="1"/>
  <c r="B134" i="1"/>
  <c r="E133" i="1"/>
  <c r="D133" i="1"/>
  <c r="B133" i="1"/>
  <c r="E132" i="1"/>
  <c r="D132" i="1"/>
  <c r="B132" i="1"/>
  <c r="E131" i="1"/>
  <c r="D131" i="1"/>
  <c r="B131" i="1"/>
  <c r="E130" i="1"/>
  <c r="D130" i="1"/>
  <c r="B130" i="1"/>
  <c r="E129" i="1"/>
  <c r="D129" i="1"/>
  <c r="B129" i="1"/>
  <c r="E128" i="1"/>
  <c r="D128" i="1"/>
  <c r="B128" i="1"/>
  <c r="E127" i="1"/>
  <c r="D127" i="1"/>
  <c r="B127" i="1"/>
  <c r="E126" i="1"/>
  <c r="D126" i="1"/>
  <c r="B126" i="1"/>
  <c r="E125" i="1"/>
  <c r="D125" i="1"/>
  <c r="B125" i="1"/>
  <c r="E124" i="1"/>
  <c r="D124" i="1"/>
  <c r="B124" i="1"/>
  <c r="E123" i="1"/>
  <c r="D123" i="1"/>
  <c r="B123" i="1"/>
  <c r="E122" i="1"/>
  <c r="D122" i="1"/>
  <c r="B122" i="1"/>
  <c r="E121" i="1"/>
  <c r="D121" i="1"/>
  <c r="B121" i="1"/>
  <c r="E120" i="1"/>
  <c r="D120" i="1"/>
  <c r="B120" i="1"/>
  <c r="E119" i="1"/>
  <c r="D119" i="1"/>
  <c r="B119" i="1"/>
  <c r="E118" i="1"/>
  <c r="D118" i="1"/>
  <c r="B118" i="1"/>
  <c r="E117" i="1"/>
  <c r="D117" i="1"/>
  <c r="B117" i="1"/>
  <c r="E116" i="1"/>
  <c r="D116" i="1"/>
  <c r="B116" i="1"/>
  <c r="E115" i="1"/>
  <c r="D115" i="1"/>
  <c r="B115" i="1"/>
  <c r="E114" i="1"/>
  <c r="D114" i="1"/>
  <c r="B114" i="1"/>
  <c r="E113" i="1"/>
  <c r="D113" i="1"/>
  <c r="B113" i="1"/>
  <c r="E112" i="1"/>
  <c r="D112" i="1"/>
  <c r="B112" i="1"/>
  <c r="E111" i="1"/>
  <c r="D111" i="1"/>
  <c r="B111" i="1"/>
  <c r="E110" i="1"/>
  <c r="D110" i="1"/>
  <c r="B110" i="1"/>
  <c r="E109" i="1"/>
  <c r="D109" i="1"/>
  <c r="B109" i="1"/>
  <c r="E108" i="1"/>
  <c r="D108" i="1"/>
  <c r="B108" i="1"/>
  <c r="E107" i="1"/>
  <c r="D107" i="1"/>
  <c r="B107" i="1"/>
  <c r="E106" i="1"/>
  <c r="D106" i="1"/>
  <c r="B106" i="1"/>
  <c r="E105" i="1"/>
  <c r="D105" i="1"/>
  <c r="B105" i="1"/>
  <c r="E104" i="1"/>
  <c r="D104" i="1"/>
  <c r="B104" i="1"/>
  <c r="E103" i="1"/>
  <c r="D103" i="1"/>
  <c r="B103" i="1"/>
  <c r="E102" i="1"/>
  <c r="D102" i="1"/>
  <c r="B102" i="1"/>
  <c r="E101" i="1"/>
  <c r="D101" i="1"/>
  <c r="B101" i="1"/>
  <c r="E100" i="1"/>
  <c r="D100" i="1"/>
  <c r="B100" i="1"/>
  <c r="E99" i="1"/>
  <c r="D99" i="1"/>
  <c r="B99" i="1"/>
  <c r="E98" i="1"/>
  <c r="D98" i="1"/>
  <c r="B98" i="1"/>
  <c r="E97" i="1"/>
  <c r="D97" i="1"/>
  <c r="B97" i="1"/>
  <c r="E96" i="1"/>
  <c r="D96" i="1"/>
  <c r="B96" i="1"/>
  <c r="E95" i="1"/>
  <c r="D95" i="1"/>
  <c r="B95" i="1"/>
  <c r="E94" i="1"/>
  <c r="D94" i="1"/>
  <c r="B94" i="1"/>
  <c r="E93" i="1"/>
  <c r="D93" i="1"/>
  <c r="B93" i="1"/>
  <c r="E92" i="1"/>
  <c r="D92" i="1"/>
  <c r="B92" i="1"/>
  <c r="E91" i="1"/>
  <c r="D91" i="1"/>
  <c r="B91" i="1"/>
  <c r="E90" i="1"/>
  <c r="D90" i="1"/>
  <c r="B90" i="1"/>
  <c r="E89" i="1"/>
  <c r="D89" i="1"/>
  <c r="B89" i="1"/>
  <c r="E88" i="1"/>
  <c r="D88" i="1"/>
  <c r="B88" i="1"/>
  <c r="E87" i="1"/>
  <c r="D87" i="1"/>
  <c r="B87" i="1"/>
  <c r="E86" i="1"/>
  <c r="D86" i="1"/>
  <c r="B86" i="1"/>
  <c r="E85" i="1"/>
  <c r="D85" i="1"/>
  <c r="B85" i="1"/>
  <c r="E84" i="1"/>
  <c r="D84" i="1"/>
  <c r="B84" i="1"/>
  <c r="E83" i="1"/>
  <c r="D83" i="1"/>
  <c r="B83" i="1"/>
  <c r="E82" i="1"/>
  <c r="D82" i="1"/>
  <c r="B82" i="1"/>
  <c r="E81" i="1"/>
  <c r="D81" i="1"/>
  <c r="B81" i="1"/>
  <c r="E80" i="1"/>
  <c r="D80" i="1"/>
  <c r="B80" i="1"/>
  <c r="E79" i="1"/>
  <c r="D79" i="1"/>
  <c r="B79" i="1"/>
  <c r="E78" i="1"/>
  <c r="D78" i="1"/>
  <c r="B78" i="1"/>
  <c r="E77" i="1"/>
  <c r="D77" i="1"/>
  <c r="B77" i="1"/>
  <c r="E76" i="1"/>
  <c r="D76" i="1"/>
  <c r="B76" i="1"/>
  <c r="E75" i="1"/>
  <c r="D75" i="1"/>
  <c r="B75" i="1"/>
  <c r="E74" i="1"/>
  <c r="D74" i="1"/>
  <c r="B74" i="1"/>
  <c r="E73" i="1"/>
  <c r="D73" i="1"/>
  <c r="B73" i="1"/>
  <c r="E72" i="1"/>
  <c r="D72" i="1"/>
  <c r="B72" i="1"/>
  <c r="E71" i="1"/>
  <c r="D71" i="1"/>
  <c r="B71" i="1"/>
  <c r="E70" i="1"/>
  <c r="D70" i="1"/>
  <c r="B70" i="1"/>
  <c r="E69" i="1"/>
  <c r="D69" i="1"/>
  <c r="B69" i="1"/>
  <c r="E68" i="1"/>
  <c r="D68" i="1"/>
  <c r="B68" i="1"/>
  <c r="E67" i="1"/>
  <c r="D67" i="1"/>
  <c r="B67" i="1"/>
  <c r="E66" i="1"/>
  <c r="D66" i="1"/>
  <c r="B66" i="1"/>
  <c r="E65" i="1"/>
  <c r="D65" i="1"/>
  <c r="B65" i="1"/>
  <c r="E64" i="1"/>
  <c r="D64" i="1"/>
  <c r="B64" i="1"/>
  <c r="E63" i="1"/>
  <c r="D63" i="1"/>
  <c r="B63" i="1"/>
  <c r="E62" i="1"/>
  <c r="D62" i="1"/>
  <c r="B62" i="1"/>
  <c r="E61" i="1"/>
  <c r="D61" i="1"/>
  <c r="B61" i="1"/>
  <c r="E60" i="1"/>
  <c r="D60" i="1"/>
  <c r="B60" i="1"/>
  <c r="E59" i="1"/>
  <c r="D59" i="1"/>
  <c r="B59" i="1"/>
  <c r="E58" i="1"/>
  <c r="D58" i="1"/>
  <c r="B58" i="1"/>
  <c r="E57" i="1"/>
  <c r="D57" i="1"/>
  <c r="B57" i="1"/>
  <c r="E56" i="1"/>
  <c r="D56" i="1"/>
  <c r="B56" i="1"/>
  <c r="E55" i="1"/>
  <c r="D55" i="1"/>
  <c r="B55" i="1"/>
  <c r="E54" i="1"/>
  <c r="D54" i="1"/>
  <c r="B54" i="1"/>
  <c r="E53" i="1"/>
  <c r="D53" i="1"/>
  <c r="B53" i="1"/>
  <c r="E52" i="1"/>
  <c r="D52" i="1"/>
  <c r="B52" i="1"/>
  <c r="E51" i="1"/>
  <c r="D51" i="1"/>
  <c r="B51" i="1"/>
  <c r="E50" i="1"/>
  <c r="D50" i="1"/>
  <c r="B50" i="1"/>
  <c r="E49" i="1"/>
  <c r="D49" i="1"/>
  <c r="B49" i="1"/>
  <c r="E48" i="1"/>
  <c r="D48" i="1"/>
  <c r="B48" i="1"/>
  <c r="E47" i="1"/>
  <c r="D47" i="1"/>
  <c r="B47" i="1"/>
  <c r="E46" i="1"/>
  <c r="D46" i="1"/>
  <c r="B46" i="1"/>
  <c r="E45" i="1"/>
  <c r="D45" i="1"/>
  <c r="B45" i="1"/>
  <c r="E44" i="1"/>
  <c r="D44" i="1"/>
  <c r="B44" i="1"/>
  <c r="E43" i="1"/>
  <c r="D43" i="1"/>
  <c r="B43" i="1"/>
  <c r="E42" i="1"/>
  <c r="D42" i="1"/>
  <c r="B42" i="1"/>
  <c r="E41" i="1"/>
  <c r="D41" i="1"/>
  <c r="B41" i="1"/>
  <c r="E40" i="1"/>
  <c r="D40" i="1"/>
  <c r="B40" i="1"/>
  <c r="E39" i="1"/>
  <c r="D39" i="1"/>
  <c r="B39" i="1"/>
  <c r="E38" i="1"/>
  <c r="D38" i="1"/>
  <c r="B38" i="1"/>
  <c r="E37" i="1"/>
  <c r="D37" i="1"/>
  <c r="B37" i="1"/>
  <c r="E36" i="1"/>
  <c r="D36" i="1"/>
  <c r="B36" i="1"/>
  <c r="E35" i="1"/>
  <c r="D35" i="1"/>
  <c r="B35" i="1"/>
  <c r="E34" i="1"/>
  <c r="D34" i="1"/>
  <c r="B34" i="1"/>
  <c r="E33" i="1"/>
  <c r="D33" i="1"/>
  <c r="B33" i="1"/>
  <c r="E32" i="1"/>
  <c r="D32" i="1"/>
  <c r="B32" i="1"/>
  <c r="E31" i="1"/>
  <c r="D31" i="1"/>
  <c r="B31" i="1"/>
  <c r="E30" i="1"/>
  <c r="D30" i="1"/>
  <c r="B30" i="1"/>
  <c r="E29" i="1"/>
  <c r="D29" i="1"/>
  <c r="B29" i="1"/>
  <c r="E28" i="1"/>
  <c r="D28" i="1"/>
  <c r="B28" i="1"/>
  <c r="E27" i="1"/>
  <c r="D27" i="1"/>
  <c r="B27" i="1"/>
  <c r="E26" i="1"/>
  <c r="D26" i="1"/>
  <c r="B26" i="1"/>
  <c r="E25" i="1"/>
  <c r="D25" i="1"/>
  <c r="B25" i="1"/>
  <c r="E24" i="1"/>
  <c r="D24" i="1"/>
  <c r="B24" i="1"/>
  <c r="E23" i="1"/>
  <c r="D23" i="1"/>
  <c r="B23" i="1"/>
  <c r="E22" i="1"/>
  <c r="D22" i="1"/>
  <c r="B22" i="1"/>
  <c r="E21" i="1"/>
  <c r="D21" i="1"/>
  <c r="B21" i="1"/>
  <c r="E20" i="1"/>
  <c r="D20" i="1"/>
  <c r="B20" i="1"/>
  <c r="E19" i="1"/>
  <c r="D19" i="1"/>
  <c r="B19" i="1"/>
  <c r="E18" i="1"/>
  <c r="D18" i="1"/>
  <c r="B18" i="1"/>
  <c r="E17" i="1"/>
  <c r="D17" i="1"/>
  <c r="B17" i="1"/>
  <c r="E16" i="1"/>
  <c r="D16" i="1"/>
  <c r="B16" i="1"/>
  <c r="E15" i="1"/>
  <c r="D15" i="1"/>
  <c r="B15" i="1"/>
  <c r="E14" i="1"/>
  <c r="D14" i="1"/>
  <c r="B14" i="1"/>
  <c r="E13" i="1"/>
  <c r="D13" i="1"/>
  <c r="B13" i="1"/>
  <c r="E12" i="1"/>
  <c r="D12" i="1"/>
  <c r="B12" i="1"/>
  <c r="E11" i="1"/>
  <c r="D11" i="1"/>
  <c r="B11" i="1"/>
  <c r="E10" i="1"/>
  <c r="D10" i="1"/>
  <c r="B10" i="1"/>
  <c r="E9" i="1"/>
  <c r="D9" i="1"/>
  <c r="B9" i="1"/>
  <c r="E8" i="1"/>
  <c r="D8" i="1"/>
  <c r="B8" i="1"/>
  <c r="E7" i="1"/>
  <c r="D7" i="1"/>
  <c r="B7" i="1"/>
  <c r="E6" i="1"/>
  <c r="D6" i="1"/>
  <c r="B6" i="1"/>
  <c r="E5" i="1"/>
  <c r="D5" i="1"/>
  <c r="B5" i="1"/>
  <c r="E4" i="1"/>
  <c r="D4" i="1"/>
  <c r="B4" i="1"/>
  <c r="E3" i="1"/>
  <c r="D3" i="1"/>
  <c r="B3" i="1"/>
  <c r="R2" i="1"/>
  <c r="Q2" i="1"/>
  <c r="K2" i="1"/>
  <c r="E2" i="1"/>
  <c r="D2" i="1"/>
  <c r="B162" i="6" l="1"/>
  <c r="B163" i="6" s="1"/>
  <c r="G161" i="6"/>
  <c r="G153" i="6"/>
  <c r="G157" i="6"/>
  <c r="G160" i="6"/>
  <c r="G152" i="6"/>
  <c r="G155" i="6"/>
  <c r="G159" i="6"/>
  <c r="G154" i="6"/>
  <c r="G156" i="6"/>
  <c r="G158" i="6"/>
  <c r="B162" i="1"/>
  <c r="B163" i="1" s="1"/>
  <c r="G152" i="1"/>
  <c r="G153" i="1"/>
  <c r="G154" i="1"/>
  <c r="G155" i="1"/>
  <c r="G156" i="1"/>
  <c r="G157" i="1"/>
  <c r="G158" i="1"/>
  <c r="G159" i="1"/>
  <c r="G160" i="1"/>
  <c r="G161" i="1"/>
  <c r="C3" i="6"/>
  <c r="C4" i="6" s="1"/>
  <c r="C3" i="1"/>
  <c r="C3" i="5"/>
  <c r="B152" i="5"/>
  <c r="B153" i="5" s="1"/>
  <c r="G147" i="6"/>
  <c r="G107" i="6"/>
  <c r="G83" i="6"/>
  <c r="G67" i="6"/>
  <c r="G43" i="6"/>
  <c r="G27" i="6"/>
  <c r="G19" i="6"/>
  <c r="G11" i="6"/>
  <c r="G3" i="6"/>
  <c r="G109" i="6"/>
  <c r="G14" i="5"/>
  <c r="G141" i="6"/>
  <c r="G133" i="6"/>
  <c r="G125" i="6"/>
  <c r="G117" i="6"/>
  <c r="G135" i="6"/>
  <c r="G111" i="6"/>
  <c r="G103" i="6"/>
  <c r="G95" i="6"/>
  <c r="G87" i="6"/>
  <c r="G79" i="6"/>
  <c r="G71" i="6"/>
  <c r="G23" i="6"/>
  <c r="G15" i="6"/>
  <c r="G136" i="6"/>
  <c r="G45" i="1"/>
  <c r="G133" i="1"/>
  <c r="G62" i="6"/>
  <c r="G125" i="1"/>
  <c r="G38" i="5"/>
  <c r="G64" i="6"/>
  <c r="G133" i="5"/>
  <c r="G93" i="5"/>
  <c r="G61" i="5"/>
  <c r="G101" i="1"/>
  <c r="G141" i="1"/>
  <c r="G146" i="5"/>
  <c r="G42" i="5"/>
  <c r="G129" i="6"/>
  <c r="G121" i="6"/>
  <c r="G105" i="6"/>
  <c r="G97" i="6"/>
  <c r="G89" i="6"/>
  <c r="G49" i="6"/>
  <c r="G25" i="6"/>
  <c r="G17" i="6"/>
  <c r="G2" i="6"/>
  <c r="G145" i="5"/>
  <c r="G61" i="6"/>
  <c r="G104" i="5"/>
  <c r="G96" i="5"/>
  <c r="G106" i="5"/>
  <c r="G119" i="5"/>
  <c r="G87" i="5"/>
  <c r="G79" i="5"/>
  <c r="G108" i="5"/>
  <c r="G100" i="5"/>
  <c r="G75" i="6"/>
  <c r="G113" i="5"/>
  <c r="G110" i="5"/>
  <c r="G102" i="5"/>
  <c r="G49" i="5"/>
  <c r="G115" i="5"/>
  <c r="G58" i="6"/>
  <c r="G7" i="6"/>
  <c r="G141" i="5"/>
  <c r="G125" i="5"/>
  <c r="G117" i="5"/>
  <c r="G69" i="5"/>
  <c r="G132" i="6"/>
  <c r="G124" i="6"/>
  <c r="G81" i="6"/>
  <c r="G143" i="5"/>
  <c r="G31" i="5"/>
  <c r="G15" i="5"/>
  <c r="G7" i="5"/>
  <c r="G142" i="6"/>
  <c r="G131" i="6"/>
  <c r="G123" i="6"/>
  <c r="G115" i="6"/>
  <c r="G91" i="5"/>
  <c r="G75" i="5"/>
  <c r="G67" i="5"/>
  <c r="G27" i="5"/>
  <c r="G146" i="6"/>
  <c r="G138" i="6"/>
  <c r="G128" i="6"/>
  <c r="G120" i="6"/>
  <c r="G112" i="6"/>
  <c r="G93" i="6"/>
  <c r="G50" i="6"/>
  <c r="G64" i="5"/>
  <c r="G148" i="6"/>
  <c r="G145" i="6"/>
  <c r="G127" i="6"/>
  <c r="G119" i="6"/>
  <c r="G116" i="6"/>
  <c r="G150" i="6"/>
  <c r="G81" i="5"/>
  <c r="G41" i="5"/>
  <c r="G33" i="5"/>
  <c r="G25" i="5"/>
  <c r="G88" i="5"/>
  <c r="G148" i="5"/>
  <c r="G37" i="5"/>
  <c r="G13" i="5"/>
  <c r="G140" i="6"/>
  <c r="G130" i="6"/>
  <c r="G122" i="6"/>
  <c r="G66" i="6"/>
  <c r="G53" i="6"/>
  <c r="G48" i="6"/>
  <c r="G40" i="6"/>
  <c r="G32" i="6"/>
  <c r="G24" i="6"/>
  <c r="G137" i="6"/>
  <c r="G45" i="6"/>
  <c r="G76" i="5"/>
  <c r="G73" i="5"/>
  <c r="G57" i="5"/>
  <c r="G17" i="5"/>
  <c r="G9" i="5"/>
  <c r="G144" i="6"/>
  <c r="G126" i="6"/>
  <c r="G118" i="6"/>
  <c r="G113" i="6"/>
  <c r="G60" i="6"/>
  <c r="G52" i="6"/>
  <c r="G47" i="6"/>
  <c r="G149" i="6"/>
  <c r="G59" i="6"/>
  <c r="G51" i="6"/>
  <c r="G46" i="6"/>
  <c r="G114" i="5"/>
  <c r="G109" i="5"/>
  <c r="G101" i="5"/>
  <c r="G56" i="5"/>
  <c r="G6" i="5"/>
  <c r="G2" i="5"/>
  <c r="G143" i="6"/>
  <c r="G134" i="6"/>
  <c r="G106" i="6"/>
  <c r="G82" i="6"/>
  <c r="G54" i="6"/>
  <c r="G16" i="6"/>
  <c r="G85" i="5"/>
  <c r="G53" i="5"/>
  <c r="G48" i="5"/>
  <c r="G21" i="6"/>
  <c r="G8" i="1"/>
  <c r="G48" i="1"/>
  <c r="G80" i="1"/>
  <c r="G88" i="1"/>
  <c r="G96" i="1"/>
  <c r="G115" i="1"/>
  <c r="G98" i="5"/>
  <c r="G90" i="5"/>
  <c r="G82" i="5"/>
  <c r="G74" i="5"/>
  <c r="G66" i="5"/>
  <c r="G45" i="5"/>
  <c r="G151" i="6"/>
  <c r="G108" i="6"/>
  <c r="G84" i="6"/>
  <c r="G63" i="6"/>
  <c r="G56" i="6"/>
  <c r="G42" i="6"/>
  <c r="G34" i="6"/>
  <c r="G26" i="6"/>
  <c r="G18" i="6"/>
  <c r="G137" i="5"/>
  <c r="G134" i="5"/>
  <c r="G118" i="5"/>
  <c r="G105" i="5"/>
  <c r="G34" i="5"/>
  <c r="G10" i="5"/>
  <c r="G110" i="6"/>
  <c r="G70" i="6"/>
  <c r="G65" i="6"/>
  <c r="G55" i="6"/>
  <c r="G44" i="6"/>
  <c r="G36" i="6"/>
  <c r="G20" i="6"/>
  <c r="G4" i="1"/>
  <c r="G12" i="1"/>
  <c r="G20" i="1"/>
  <c r="G28" i="1"/>
  <c r="G36" i="1"/>
  <c r="G135" i="1"/>
  <c r="G149" i="5"/>
  <c r="G144" i="5"/>
  <c r="G136" i="5"/>
  <c r="G86" i="5"/>
  <c r="G54" i="5"/>
  <c r="G139" i="6"/>
  <c r="G114" i="6"/>
  <c r="G104" i="6"/>
  <c r="G96" i="6"/>
  <c r="G88" i="6"/>
  <c r="G57" i="6"/>
  <c r="G38" i="6"/>
  <c r="G30" i="6"/>
  <c r="G22" i="6"/>
  <c r="G14" i="6"/>
  <c r="G59" i="1"/>
  <c r="G52" i="5"/>
  <c r="G38" i="1"/>
  <c r="G46" i="1"/>
  <c r="G62" i="1"/>
  <c r="G139" i="1"/>
  <c r="G35" i="1"/>
  <c r="G144" i="1"/>
  <c r="G54" i="1"/>
  <c r="G25" i="1"/>
  <c r="G110" i="1"/>
  <c r="G142" i="1"/>
  <c r="G147" i="5"/>
  <c r="G111" i="5"/>
  <c r="G103" i="5"/>
  <c r="G80" i="5"/>
  <c r="G72" i="5"/>
  <c r="G51" i="5"/>
  <c r="G101" i="6"/>
  <c r="G11" i="1"/>
  <c r="G75" i="1"/>
  <c r="G67" i="1"/>
  <c r="G63" i="1"/>
  <c r="G71" i="1"/>
  <c r="G79" i="1"/>
  <c r="G87" i="1"/>
  <c r="G129" i="5"/>
  <c r="G77" i="5"/>
  <c r="G91" i="1"/>
  <c r="G58" i="1"/>
  <c r="G82" i="1"/>
  <c r="G90" i="1"/>
  <c r="G103" i="1"/>
  <c r="G111" i="1"/>
  <c r="G143" i="1"/>
  <c r="G95" i="5"/>
  <c r="G71" i="5"/>
  <c r="G30" i="5"/>
  <c r="G22" i="5"/>
  <c r="G19" i="1"/>
  <c r="G83" i="1"/>
  <c r="G146" i="1"/>
  <c r="G149" i="1"/>
  <c r="G151" i="5"/>
  <c r="G107" i="5"/>
  <c r="G99" i="5"/>
  <c r="G97" i="5"/>
  <c r="G92" i="5"/>
  <c r="G84" i="5"/>
  <c r="G68" i="5"/>
  <c r="G60" i="5"/>
  <c r="G8" i="5"/>
  <c r="G76" i="6"/>
  <c r="G99" i="6"/>
  <c r="G91" i="6"/>
  <c r="G102" i="6"/>
  <c r="G94" i="6"/>
  <c r="G100" i="6"/>
  <c r="G92" i="6"/>
  <c r="G98" i="6"/>
  <c r="G90" i="6"/>
  <c r="G74" i="6"/>
  <c r="G86" i="6"/>
  <c r="G80" i="6"/>
  <c r="G72" i="6"/>
  <c r="G68" i="6"/>
  <c r="G85" i="6"/>
  <c r="G78" i="6"/>
  <c r="G73" i="6"/>
  <c r="G69" i="6"/>
  <c r="G77" i="6"/>
  <c r="G28" i="6"/>
  <c r="G39" i="6"/>
  <c r="G10" i="6"/>
  <c r="G9" i="6"/>
  <c r="G41" i="6"/>
  <c r="G37" i="6"/>
  <c r="G33" i="6"/>
  <c r="G29" i="6"/>
  <c r="G8" i="6"/>
  <c r="G6" i="6"/>
  <c r="G13" i="6"/>
  <c r="G5" i="6"/>
  <c r="G35" i="6"/>
  <c r="G31" i="6"/>
  <c r="G12" i="6"/>
  <c r="G4" i="6"/>
  <c r="G139" i="5"/>
  <c r="G23" i="1"/>
  <c r="G31" i="1"/>
  <c r="G97" i="1"/>
  <c r="G105" i="1"/>
  <c r="G126" i="1"/>
  <c r="G134" i="1"/>
  <c r="G150" i="5"/>
  <c r="G124" i="5"/>
  <c r="G116" i="5"/>
  <c r="G83" i="5"/>
  <c r="G32" i="5"/>
  <c r="G24" i="5"/>
  <c r="G95" i="1"/>
  <c r="G121" i="1"/>
  <c r="G129" i="1"/>
  <c r="G137" i="1"/>
  <c r="G131" i="5"/>
  <c r="G78" i="5"/>
  <c r="G39" i="5"/>
  <c r="G29" i="5"/>
  <c r="G21" i="5"/>
  <c r="G74" i="1"/>
  <c r="G63" i="5"/>
  <c r="G32" i="1"/>
  <c r="G98" i="1"/>
  <c r="G127" i="1"/>
  <c r="G128" i="5"/>
  <c r="G123" i="5"/>
  <c r="G70" i="5"/>
  <c r="G65" i="5"/>
  <c r="G26" i="5"/>
  <c r="G18" i="5"/>
  <c r="G3" i="1"/>
  <c r="G64" i="1"/>
  <c r="G72" i="1"/>
  <c r="G109" i="1"/>
  <c r="G138" i="1"/>
  <c r="G140" i="5"/>
  <c r="G135" i="5"/>
  <c r="G130" i="5"/>
  <c r="G120" i="5"/>
  <c r="G94" i="5"/>
  <c r="G55" i="5"/>
  <c r="G43" i="5"/>
  <c r="G28" i="5"/>
  <c r="G20" i="5"/>
  <c r="G5" i="5"/>
  <c r="G3" i="5"/>
  <c r="G22" i="1"/>
  <c r="G112" i="5"/>
  <c r="G49" i="1"/>
  <c r="G57" i="1"/>
  <c r="G70" i="1"/>
  <c r="G78" i="1"/>
  <c r="G86" i="1"/>
  <c r="G94" i="1"/>
  <c r="G120" i="1"/>
  <c r="G132" i="5"/>
  <c r="G127" i="5"/>
  <c r="G122" i="5"/>
  <c r="G47" i="1"/>
  <c r="G132" i="1"/>
  <c r="G150" i="1"/>
  <c r="G29" i="1"/>
  <c r="G34" i="1"/>
  <c r="G42" i="1"/>
  <c r="G68" i="1"/>
  <c r="G76" i="1"/>
  <c r="G84" i="1"/>
  <c r="G92" i="1"/>
  <c r="G107" i="1"/>
  <c r="G112" i="1"/>
  <c r="G117" i="1"/>
  <c r="G148" i="1"/>
  <c r="G89" i="1"/>
  <c r="G24" i="1"/>
  <c r="G102" i="1"/>
  <c r="G151" i="1"/>
  <c r="G142" i="5"/>
  <c r="G10" i="1"/>
  <c r="G122" i="1"/>
  <c r="G40" i="1"/>
  <c r="G18" i="1"/>
  <c r="G52" i="1"/>
  <c r="G81" i="1"/>
  <c r="G145" i="1"/>
  <c r="G2" i="1"/>
  <c r="G30" i="1"/>
  <c r="G56" i="1"/>
  <c r="G69" i="1"/>
  <c r="G77" i="1"/>
  <c r="G85" i="1"/>
  <c r="G100" i="1"/>
  <c r="G73" i="1"/>
  <c r="G104" i="1"/>
  <c r="G138" i="5"/>
  <c r="G116" i="1"/>
  <c r="G126" i="5"/>
  <c r="G121" i="5"/>
  <c r="G89" i="5"/>
  <c r="G59" i="5"/>
  <c r="G46" i="5"/>
  <c r="G36" i="5"/>
  <c r="G62" i="5"/>
  <c r="G47" i="5"/>
  <c r="G11" i="5"/>
  <c r="G58" i="5"/>
  <c r="G50" i="5"/>
  <c r="G40" i="5"/>
  <c r="G4" i="5"/>
  <c r="G35" i="5"/>
  <c r="G23" i="5"/>
  <c r="G16" i="5"/>
  <c r="G44" i="5"/>
  <c r="G19" i="5"/>
  <c r="G12" i="5"/>
  <c r="G6" i="1"/>
  <c r="G14" i="1"/>
  <c r="G41" i="1"/>
  <c r="G51" i="1"/>
  <c r="G61" i="1"/>
  <c r="G114" i="1"/>
  <c r="G140" i="1"/>
  <c r="G147" i="1"/>
  <c r="G9" i="1"/>
  <c r="G17" i="1"/>
  <c r="G27" i="1"/>
  <c r="G39" i="1"/>
  <c r="G44" i="1"/>
  <c r="G66" i="1"/>
  <c r="G131" i="1"/>
  <c r="G136" i="1"/>
  <c r="G37" i="1"/>
  <c r="G99" i="1"/>
  <c r="G108" i="1"/>
  <c r="G7" i="1"/>
  <c r="G15" i="1"/>
  <c r="G93" i="1"/>
  <c r="G106" i="1"/>
  <c r="G5" i="1"/>
  <c r="G13" i="1"/>
  <c r="G21" i="1"/>
  <c r="G33" i="1"/>
  <c r="G50" i="1"/>
  <c r="G55" i="1"/>
  <c r="G60" i="1"/>
  <c r="G113" i="1"/>
  <c r="G123" i="1"/>
  <c r="G16" i="1"/>
  <c r="G26" i="1"/>
  <c r="G43" i="1"/>
  <c r="G53" i="1"/>
  <c r="G65" i="1"/>
  <c r="G118" i="1"/>
  <c r="G130" i="1"/>
  <c r="G119" i="1"/>
  <c r="G124" i="1"/>
  <c r="G128" i="1"/>
  <c r="D6" i="9" l="1"/>
  <c r="B6" i="9"/>
  <c r="C6" i="9"/>
  <c r="C4" i="1"/>
  <c r="C5" i="1" s="1"/>
  <c r="S2" i="6"/>
  <c r="U2" i="5"/>
  <c r="S2" i="1"/>
  <c r="C4" i="5"/>
  <c r="L2" i="6"/>
  <c r="O3" i="6" s="1"/>
  <c r="G162" i="6"/>
  <c r="G163" i="6" s="1"/>
  <c r="G162" i="1"/>
  <c r="G163" i="1" s="1"/>
  <c r="L2" i="1"/>
  <c r="H2" i="1" s="1"/>
  <c r="M3" i="1" s="1"/>
  <c r="M2" i="5"/>
  <c r="P2" i="5" s="1"/>
  <c r="G152" i="5"/>
  <c r="G153" i="5" s="1"/>
  <c r="C5" i="6"/>
  <c r="C5" i="5" l="1"/>
  <c r="H2" i="6"/>
  <c r="O2" i="6"/>
  <c r="O3" i="1"/>
  <c r="H2" i="5"/>
  <c r="N3" i="5" s="1"/>
  <c r="P3" i="5"/>
  <c r="C6" i="6"/>
  <c r="C6" i="1"/>
  <c r="P2" i="1"/>
  <c r="F3" i="1"/>
  <c r="U3" i="1" s="1"/>
  <c r="C6" i="5" l="1"/>
  <c r="S3" i="1"/>
  <c r="T3" i="1"/>
  <c r="P2" i="6"/>
  <c r="M3" i="6"/>
  <c r="F3" i="6"/>
  <c r="F3" i="5"/>
  <c r="Q2" i="5"/>
  <c r="C7" i="6"/>
  <c r="J3" i="1"/>
  <c r="R3" i="1" s="1"/>
  <c r="C7" i="1"/>
  <c r="C7" i="5" l="1"/>
  <c r="W3" i="5"/>
  <c r="X3" i="5"/>
  <c r="U3" i="5"/>
  <c r="V3" i="5"/>
  <c r="T3" i="6"/>
  <c r="U3" i="6"/>
  <c r="J3" i="6"/>
  <c r="R3" i="6" s="1"/>
  <c r="S3" i="6"/>
  <c r="K3" i="6"/>
  <c r="L3" i="6" s="1"/>
  <c r="N3" i="6"/>
  <c r="J3" i="5"/>
  <c r="S3" i="5" s="1"/>
  <c r="K3" i="5"/>
  <c r="T3" i="5" s="1"/>
  <c r="C8" i="6"/>
  <c r="C8" i="1"/>
  <c r="C8" i="5" l="1"/>
  <c r="I3" i="6"/>
  <c r="Q3" i="6" s="1"/>
  <c r="O4" i="6"/>
  <c r="H3" i="6"/>
  <c r="C9" i="6"/>
  <c r="C9" i="1"/>
  <c r="C9" i="5" l="1"/>
  <c r="F4" i="6"/>
  <c r="U4" i="6" s="1"/>
  <c r="P3" i="6"/>
  <c r="M4" i="6"/>
  <c r="C10" i="6"/>
  <c r="C10" i="1"/>
  <c r="C10" i="5" l="1"/>
  <c r="S4" i="6"/>
  <c r="T4" i="6"/>
  <c r="K4" i="6"/>
  <c r="L4" i="6" s="1"/>
  <c r="N4" i="6"/>
  <c r="C11" i="6"/>
  <c r="C11" i="1"/>
  <c r="C11" i="5" l="1"/>
  <c r="I4" i="6"/>
  <c r="J4" i="6"/>
  <c r="R4" i="6" s="1"/>
  <c r="H4" i="6"/>
  <c r="O5" i="6"/>
  <c r="C12" i="6"/>
  <c r="C12" i="1"/>
  <c r="C12" i="5" l="1"/>
  <c r="F5" i="6"/>
  <c r="U5" i="6" s="1"/>
  <c r="Q4" i="6"/>
  <c r="P4" i="6"/>
  <c r="M5" i="6"/>
  <c r="C13" i="6"/>
  <c r="C13" i="1"/>
  <c r="C13" i="5" l="1"/>
  <c r="S5" i="6"/>
  <c r="T5" i="6"/>
  <c r="K5" i="6"/>
  <c r="L5" i="6" s="1"/>
  <c r="N5" i="6"/>
  <c r="C14" i="6"/>
  <c r="C14" i="1"/>
  <c r="C14" i="5" l="1"/>
  <c r="I5" i="6"/>
  <c r="Q5" i="6" s="1"/>
  <c r="H5" i="6"/>
  <c r="P5" i="6" s="1"/>
  <c r="O6" i="6"/>
  <c r="J5" i="6"/>
  <c r="C15" i="6"/>
  <c r="C15" i="1"/>
  <c r="C15" i="5" l="1"/>
  <c r="M6" i="6"/>
  <c r="R5" i="6"/>
  <c r="F6" i="6"/>
  <c r="U6" i="6" s="1"/>
  <c r="C16" i="6"/>
  <c r="C16" i="1"/>
  <c r="C16" i="5" l="1"/>
  <c r="S6" i="6"/>
  <c r="T6" i="6"/>
  <c r="K6" i="6"/>
  <c r="L6" i="6" s="1"/>
  <c r="N6" i="6"/>
  <c r="C17" i="6"/>
  <c r="C17" i="1"/>
  <c r="C17" i="5" l="1"/>
  <c r="H6" i="6"/>
  <c r="P6" i="6" s="1"/>
  <c r="I6" i="6"/>
  <c r="Q6" i="6" s="1"/>
  <c r="O7" i="6"/>
  <c r="J6" i="6"/>
  <c r="C18" i="6"/>
  <c r="C18" i="1"/>
  <c r="C18" i="5" l="1"/>
  <c r="R6" i="6"/>
  <c r="F7" i="6"/>
  <c r="U7" i="6" s="1"/>
  <c r="M7" i="6"/>
  <c r="C19" i="6"/>
  <c r="C19" i="1"/>
  <c r="C19" i="5" l="1"/>
  <c r="S7" i="6"/>
  <c r="T7" i="6"/>
  <c r="N7" i="6"/>
  <c r="K7" i="6"/>
  <c r="L7" i="6" s="1"/>
  <c r="C20" i="6"/>
  <c r="C20" i="1"/>
  <c r="C20" i="5" l="1"/>
  <c r="I7" i="6"/>
  <c r="Q7" i="6" s="1"/>
  <c r="J7" i="6"/>
  <c r="R7" i="6" s="1"/>
  <c r="H7" i="6"/>
  <c r="O8" i="6"/>
  <c r="C21" i="6"/>
  <c r="C21" i="1"/>
  <c r="C21" i="5" l="1"/>
  <c r="P7" i="6"/>
  <c r="F8" i="6"/>
  <c r="U8" i="6" s="1"/>
  <c r="M8" i="6"/>
  <c r="C22" i="6"/>
  <c r="C22" i="1"/>
  <c r="C22" i="5" l="1"/>
  <c r="S8" i="6"/>
  <c r="T8" i="6"/>
  <c r="K8" i="6"/>
  <c r="L8" i="6" s="1"/>
  <c r="I8" i="6" s="1"/>
  <c r="Q8" i="6" s="1"/>
  <c r="N8" i="6"/>
  <c r="C23" i="6"/>
  <c r="C23" i="1"/>
  <c r="C23" i="5" l="1"/>
  <c r="H8" i="6"/>
  <c r="O9" i="6"/>
  <c r="J8" i="6"/>
  <c r="C24" i="6"/>
  <c r="C24" i="1"/>
  <c r="C24" i="5" l="1"/>
  <c r="C25" i="5" s="1"/>
  <c r="C26" i="5" s="1"/>
  <c r="P8" i="6"/>
  <c r="F9" i="6"/>
  <c r="U9" i="6" s="1"/>
  <c r="R8" i="6"/>
  <c r="M9" i="6"/>
  <c r="C25" i="6"/>
  <c r="C25" i="1"/>
  <c r="S9" i="6" l="1"/>
  <c r="T9" i="6"/>
  <c r="K9" i="6"/>
  <c r="L9" i="6" s="1"/>
  <c r="N9" i="6"/>
  <c r="C26" i="6"/>
  <c r="C27" i="5"/>
  <c r="C26" i="1"/>
  <c r="O10" i="6" l="1"/>
  <c r="J9" i="6"/>
  <c r="R9" i="6" s="1"/>
  <c r="H9" i="6"/>
  <c r="I9" i="6"/>
  <c r="Q9" i="6" s="1"/>
  <c r="C27" i="6"/>
  <c r="C28" i="5"/>
  <c r="C27" i="1"/>
  <c r="M10" i="6" l="1"/>
  <c r="P9" i="6"/>
  <c r="F10" i="6"/>
  <c r="U10" i="6" s="1"/>
  <c r="C28" i="6"/>
  <c r="C29" i="5"/>
  <c r="C28" i="1"/>
  <c r="S10" i="6" l="1"/>
  <c r="T10" i="6"/>
  <c r="K10" i="6"/>
  <c r="L10" i="6" s="1"/>
  <c r="N10" i="6"/>
  <c r="C29" i="6"/>
  <c r="C30" i="5"/>
  <c r="C29" i="1"/>
  <c r="H10" i="6" l="1"/>
  <c r="P10" i="6" s="1"/>
  <c r="I10" i="6"/>
  <c r="Q10" i="6" s="1"/>
  <c r="O11" i="6"/>
  <c r="J10" i="6"/>
  <c r="C30" i="6"/>
  <c r="C31" i="5"/>
  <c r="C30" i="1"/>
  <c r="F11" i="6" l="1"/>
  <c r="U11" i="6" s="1"/>
  <c r="R10" i="6"/>
  <c r="M11" i="6"/>
  <c r="C31" i="6"/>
  <c r="C32" i="5"/>
  <c r="C31" i="1"/>
  <c r="S11" i="6" l="1"/>
  <c r="T11" i="6"/>
  <c r="K11" i="6"/>
  <c r="L11" i="6" s="1"/>
  <c r="J11" i="6" s="1"/>
  <c r="R11" i="6" s="1"/>
  <c r="N11" i="6"/>
  <c r="C32" i="6"/>
  <c r="C33" i="5"/>
  <c r="C32" i="1"/>
  <c r="I11" i="6" l="1"/>
  <c r="Q11" i="6" s="1"/>
  <c r="H11" i="6"/>
  <c r="O12" i="6"/>
  <c r="C33" i="6"/>
  <c r="C34" i="5"/>
  <c r="C33" i="1"/>
  <c r="P11" i="6" l="1"/>
  <c r="F12" i="6"/>
  <c r="U12" i="6" s="1"/>
  <c r="M12" i="6"/>
  <c r="C34" i="6"/>
  <c r="C35" i="5"/>
  <c r="C34" i="1"/>
  <c r="S12" i="6" l="1"/>
  <c r="T12" i="6"/>
  <c r="N12" i="6"/>
  <c r="K12" i="6"/>
  <c r="L12" i="6" s="1"/>
  <c r="C35" i="6"/>
  <c r="C36" i="5"/>
  <c r="C35" i="1"/>
  <c r="I12" i="6" l="1"/>
  <c r="Q12" i="6" s="1"/>
  <c r="J12" i="6"/>
  <c r="R12" i="6" s="1"/>
  <c r="O13" i="6"/>
  <c r="H12" i="6"/>
  <c r="C36" i="6"/>
  <c r="C37" i="5"/>
  <c r="C36" i="1"/>
  <c r="P12" i="6" l="1"/>
  <c r="M13" i="6"/>
  <c r="F13" i="6"/>
  <c r="U13" i="6" s="1"/>
  <c r="C37" i="6"/>
  <c r="C38" i="5"/>
  <c r="C37" i="1"/>
  <c r="S13" i="6" l="1"/>
  <c r="T13" i="6"/>
  <c r="K13" i="6"/>
  <c r="L13" i="6" s="1"/>
  <c r="N13" i="6"/>
  <c r="C38" i="6"/>
  <c r="C39" i="5"/>
  <c r="C38" i="1"/>
  <c r="I13" i="6" l="1"/>
  <c r="Q13" i="6" s="1"/>
  <c r="H13" i="6"/>
  <c r="P13" i="6" s="1"/>
  <c r="O14" i="6"/>
  <c r="J13" i="6"/>
  <c r="C39" i="6"/>
  <c r="C40" i="5"/>
  <c r="C39" i="1"/>
  <c r="M14" i="6" l="1"/>
  <c r="R13" i="6"/>
  <c r="F14" i="6"/>
  <c r="U14" i="6" s="1"/>
  <c r="C40" i="6"/>
  <c r="C41" i="5"/>
  <c r="C40" i="1"/>
  <c r="S14" i="6" l="1"/>
  <c r="T14" i="6"/>
  <c r="N14" i="6"/>
  <c r="K14" i="6"/>
  <c r="L14" i="6" s="1"/>
  <c r="H14" i="6" s="1"/>
  <c r="C41" i="6"/>
  <c r="C42" i="5"/>
  <c r="C41" i="1"/>
  <c r="I14" i="6" l="1"/>
  <c r="Q14" i="6" s="1"/>
  <c r="J14" i="6"/>
  <c r="O15" i="6"/>
  <c r="P14" i="6"/>
  <c r="C42" i="6"/>
  <c r="C43" i="5"/>
  <c r="C42" i="1"/>
  <c r="R14" i="6" l="1"/>
  <c r="M15" i="6"/>
  <c r="F15" i="6"/>
  <c r="U15" i="6" s="1"/>
  <c r="C43" i="6"/>
  <c r="C44" i="5"/>
  <c r="C43" i="1"/>
  <c r="S15" i="6" l="1"/>
  <c r="T15" i="6"/>
  <c r="K15" i="6"/>
  <c r="L15" i="6" s="1"/>
  <c r="N15" i="6"/>
  <c r="C44" i="6"/>
  <c r="C45" i="5"/>
  <c r="C44" i="1"/>
  <c r="H15" i="6" l="1"/>
  <c r="P15" i="6" s="1"/>
  <c r="O16" i="6"/>
  <c r="I15" i="6"/>
  <c r="J15" i="6"/>
  <c r="R15" i="6" s="1"/>
  <c r="C45" i="6"/>
  <c r="C46" i="5"/>
  <c r="C45" i="1"/>
  <c r="Q15" i="6" l="1"/>
  <c r="F16" i="6"/>
  <c r="U16" i="6" s="1"/>
  <c r="M16" i="6"/>
  <c r="C46" i="6"/>
  <c r="C47" i="5"/>
  <c r="C46" i="1"/>
  <c r="S16" i="6" l="1"/>
  <c r="T16" i="6"/>
  <c r="K16" i="6"/>
  <c r="L16" i="6" s="1"/>
  <c r="N16" i="6"/>
  <c r="C47" i="6"/>
  <c r="C48" i="5"/>
  <c r="C47" i="1"/>
  <c r="H16" i="6" l="1"/>
  <c r="P16" i="6" s="1"/>
  <c r="I16" i="6"/>
  <c r="Q16" i="6" s="1"/>
  <c r="O17" i="6"/>
  <c r="J16" i="6"/>
  <c r="C48" i="6"/>
  <c r="C49" i="5"/>
  <c r="C48" i="1"/>
  <c r="M17" i="6" l="1"/>
  <c r="R16" i="6"/>
  <c r="F17" i="6"/>
  <c r="U17" i="6" s="1"/>
  <c r="C49" i="6"/>
  <c r="C50" i="5"/>
  <c r="C49" i="1"/>
  <c r="S17" i="6" l="1"/>
  <c r="T17" i="6"/>
  <c r="K17" i="6"/>
  <c r="L17" i="6" s="1"/>
  <c r="N17" i="6"/>
  <c r="C50" i="6"/>
  <c r="C51" i="5"/>
  <c r="C50" i="1"/>
  <c r="J17" i="6" l="1"/>
  <c r="R17" i="6" s="1"/>
  <c r="I17" i="6"/>
  <c r="Q17" i="6" s="1"/>
  <c r="H17" i="6"/>
  <c r="O18" i="6"/>
  <c r="C51" i="6"/>
  <c r="C52" i="5"/>
  <c r="C51" i="1"/>
  <c r="P17" i="6" l="1"/>
  <c r="F18" i="6"/>
  <c r="U18" i="6" s="1"/>
  <c r="M18" i="6"/>
  <c r="C52" i="6"/>
  <c r="C53" i="5"/>
  <c r="C52" i="1"/>
  <c r="S18" i="6" l="1"/>
  <c r="T18" i="6"/>
  <c r="K18" i="6"/>
  <c r="L18" i="6" s="1"/>
  <c r="N18" i="6"/>
  <c r="C53" i="6"/>
  <c r="C54" i="5"/>
  <c r="C53" i="1"/>
  <c r="O19" i="6" l="1"/>
  <c r="I18" i="6"/>
  <c r="Q18" i="6" s="1"/>
  <c r="J18" i="6"/>
  <c r="H18" i="6"/>
  <c r="C54" i="6"/>
  <c r="C55" i="5"/>
  <c r="C54" i="1"/>
  <c r="R18" i="6" l="1"/>
  <c r="M19" i="6"/>
  <c r="F19" i="6"/>
  <c r="U19" i="6" s="1"/>
  <c r="P18" i="6"/>
  <c r="C55" i="6"/>
  <c r="C56" i="5"/>
  <c r="C55" i="1"/>
  <c r="S19" i="6" l="1"/>
  <c r="T19" i="6"/>
  <c r="N19" i="6"/>
  <c r="K19" i="6"/>
  <c r="L19" i="6" s="1"/>
  <c r="C56" i="6"/>
  <c r="C57" i="5"/>
  <c r="C56" i="1"/>
  <c r="J19" i="6" l="1"/>
  <c r="R19" i="6" s="1"/>
  <c r="I19" i="6"/>
  <c r="Q19" i="6" s="1"/>
  <c r="H19" i="6"/>
  <c r="O20" i="6"/>
  <c r="C57" i="6"/>
  <c r="C58" i="5"/>
  <c r="C57" i="1"/>
  <c r="F20" i="6" l="1"/>
  <c r="U20" i="6" s="1"/>
  <c r="P19" i="6"/>
  <c r="M20" i="6"/>
  <c r="C58" i="6"/>
  <c r="C59" i="5"/>
  <c r="C58" i="1"/>
  <c r="S20" i="6" l="1"/>
  <c r="T20" i="6"/>
  <c r="N20" i="6"/>
  <c r="K20" i="6"/>
  <c r="L20" i="6" s="1"/>
  <c r="C59" i="6"/>
  <c r="C60" i="5"/>
  <c r="C59" i="1"/>
  <c r="I20" i="6" l="1"/>
  <c r="Q20" i="6" s="1"/>
  <c r="O21" i="6"/>
  <c r="J20" i="6"/>
  <c r="R20" i="6" s="1"/>
  <c r="H20" i="6"/>
  <c r="C60" i="6"/>
  <c r="C61" i="5"/>
  <c r="C60" i="1"/>
  <c r="P20" i="6" l="1"/>
  <c r="M21" i="6"/>
  <c r="F21" i="6"/>
  <c r="U21" i="6" s="1"/>
  <c r="C61" i="6"/>
  <c r="C62" i="5"/>
  <c r="C61" i="1"/>
  <c r="S21" i="6" l="1"/>
  <c r="T21" i="6"/>
  <c r="N21" i="6"/>
  <c r="K21" i="6"/>
  <c r="L21" i="6" s="1"/>
  <c r="C62" i="6"/>
  <c r="C63" i="5"/>
  <c r="C62" i="1"/>
  <c r="J21" i="6" l="1"/>
  <c r="R21" i="6" s="1"/>
  <c r="I21" i="6"/>
  <c r="Q21" i="6" s="1"/>
  <c r="O22" i="6"/>
  <c r="H21" i="6"/>
  <c r="C63" i="6"/>
  <c r="C64" i="5"/>
  <c r="C63" i="1"/>
  <c r="F22" i="6" l="1"/>
  <c r="U22" i="6" s="1"/>
  <c r="P21" i="6"/>
  <c r="M22" i="6"/>
  <c r="C64" i="6"/>
  <c r="C65" i="5"/>
  <c r="C64" i="1"/>
  <c r="S22" i="6" l="1"/>
  <c r="T22" i="6"/>
  <c r="N22" i="6"/>
  <c r="K22" i="6"/>
  <c r="L22" i="6" s="1"/>
  <c r="C65" i="6"/>
  <c r="C66" i="5"/>
  <c r="C65" i="1"/>
  <c r="H22" i="6" l="1"/>
  <c r="P22" i="6" s="1"/>
  <c r="J22" i="6"/>
  <c r="R22" i="6" s="1"/>
  <c r="I22" i="6"/>
  <c r="Q22" i="6" s="1"/>
  <c r="O23" i="6"/>
  <c r="C66" i="6"/>
  <c r="C67" i="5"/>
  <c r="C66" i="1"/>
  <c r="M23" i="6" l="1"/>
  <c r="F23" i="6"/>
  <c r="U23" i="6" s="1"/>
  <c r="C67" i="6"/>
  <c r="C68" i="5"/>
  <c r="C67" i="1"/>
  <c r="S23" i="6" l="1"/>
  <c r="T23" i="6"/>
  <c r="N23" i="6"/>
  <c r="K23" i="6"/>
  <c r="L23" i="6" s="1"/>
  <c r="C68" i="6"/>
  <c r="C69" i="5"/>
  <c r="C68" i="1"/>
  <c r="H23" i="6" l="1"/>
  <c r="P23" i="6" s="1"/>
  <c r="O24" i="6"/>
  <c r="I23" i="6"/>
  <c r="J23" i="6"/>
  <c r="R23" i="6" s="1"/>
  <c r="C69" i="6"/>
  <c r="C70" i="5"/>
  <c r="C69" i="1"/>
  <c r="Q23" i="6" l="1"/>
  <c r="M24" i="6"/>
  <c r="F24" i="6"/>
  <c r="U24" i="6" s="1"/>
  <c r="C70" i="6"/>
  <c r="C71" i="5"/>
  <c r="C70" i="1"/>
  <c r="S24" i="6" l="1"/>
  <c r="T24" i="6"/>
  <c r="K24" i="6"/>
  <c r="L24" i="6" s="1"/>
  <c r="N24" i="6"/>
  <c r="C71" i="6"/>
  <c r="C72" i="5"/>
  <c r="C71" i="1"/>
  <c r="H24" i="6" l="1"/>
  <c r="J24" i="6"/>
  <c r="R24" i="6" s="1"/>
  <c r="O25" i="6"/>
  <c r="I24" i="6"/>
  <c r="C72" i="6"/>
  <c r="C73" i="5"/>
  <c r="C72" i="1"/>
  <c r="P24" i="6" l="1"/>
  <c r="F25" i="6"/>
  <c r="U25" i="6" s="1"/>
  <c r="Q24" i="6"/>
  <c r="M25" i="6"/>
  <c r="C73" i="6"/>
  <c r="C74" i="5"/>
  <c r="C73" i="1"/>
  <c r="S25" i="6" l="1"/>
  <c r="T25" i="6"/>
  <c r="N25" i="6"/>
  <c r="K25" i="6"/>
  <c r="L25" i="6" s="1"/>
  <c r="C74" i="6"/>
  <c r="C75" i="5"/>
  <c r="C74" i="1"/>
  <c r="O26" i="6" l="1"/>
  <c r="J25" i="6"/>
  <c r="R25" i="6" s="1"/>
  <c r="I25" i="6"/>
  <c r="Q25" i="6" s="1"/>
  <c r="H25" i="6"/>
  <c r="C75" i="6"/>
  <c r="C76" i="5"/>
  <c r="C75" i="1"/>
  <c r="P25" i="6" l="1"/>
  <c r="F26" i="6"/>
  <c r="U26" i="6" s="1"/>
  <c r="M26" i="6"/>
  <c r="C76" i="6"/>
  <c r="C77" i="5"/>
  <c r="C76" i="1"/>
  <c r="S26" i="6" l="1"/>
  <c r="T26" i="6"/>
  <c r="N26" i="6"/>
  <c r="K26" i="6"/>
  <c r="L26" i="6" s="1"/>
  <c r="C77" i="6"/>
  <c r="C78" i="5"/>
  <c r="C77" i="1"/>
  <c r="H26" i="6" l="1"/>
  <c r="P26" i="6" s="1"/>
  <c r="O27" i="6"/>
  <c r="I26" i="6"/>
  <c r="J26" i="6"/>
  <c r="R26" i="6" s="1"/>
  <c r="C78" i="6"/>
  <c r="C79" i="5"/>
  <c r="C78" i="1"/>
  <c r="Q26" i="6" l="1"/>
  <c r="M27" i="6"/>
  <c r="F27" i="6"/>
  <c r="U27" i="6" s="1"/>
  <c r="C79" i="6"/>
  <c r="C80" i="5"/>
  <c r="C79" i="1"/>
  <c r="S27" i="6" l="1"/>
  <c r="T27" i="6"/>
  <c r="N27" i="6"/>
  <c r="K27" i="6"/>
  <c r="L27" i="6" s="1"/>
  <c r="C80" i="6"/>
  <c r="C81" i="5"/>
  <c r="C80" i="1"/>
  <c r="O28" i="6" l="1"/>
  <c r="J27" i="6"/>
  <c r="R27" i="6" s="1"/>
  <c r="I27" i="6"/>
  <c r="H27" i="6"/>
  <c r="P27" i="6" s="1"/>
  <c r="C81" i="6"/>
  <c r="C82" i="5"/>
  <c r="C81" i="1"/>
  <c r="Q27" i="6" l="1"/>
  <c r="M28" i="6"/>
  <c r="F28" i="6"/>
  <c r="U28" i="6" s="1"/>
  <c r="C82" i="6"/>
  <c r="C83" i="5"/>
  <c r="C82" i="1"/>
  <c r="S28" i="6" l="1"/>
  <c r="T28" i="6"/>
  <c r="N28" i="6"/>
  <c r="K28" i="6"/>
  <c r="L28" i="6" s="1"/>
  <c r="C83" i="6"/>
  <c r="C84" i="5"/>
  <c r="C83" i="1"/>
  <c r="I28" i="6" l="1"/>
  <c r="Q28" i="6" s="1"/>
  <c r="O29" i="6"/>
  <c r="H28" i="6"/>
  <c r="J28" i="6"/>
  <c r="R28" i="6" s="1"/>
  <c r="C84" i="6"/>
  <c r="C85" i="5"/>
  <c r="C84" i="1"/>
  <c r="M29" i="6" l="1"/>
  <c r="P28" i="6"/>
  <c r="F29" i="6"/>
  <c r="C85" i="6"/>
  <c r="C86" i="5"/>
  <c r="C85" i="1"/>
  <c r="N29" i="6" l="1"/>
  <c r="K29" i="6"/>
  <c r="L29" i="6" s="1"/>
  <c r="U29" i="6"/>
  <c r="S29" i="6"/>
  <c r="T29" i="6"/>
  <c r="C86" i="6"/>
  <c r="C87" i="5"/>
  <c r="C86" i="1"/>
  <c r="I29" i="6" l="1"/>
  <c r="Q29" i="6" s="1"/>
  <c r="O30" i="6"/>
  <c r="J29" i="6"/>
  <c r="H29" i="6"/>
  <c r="P29" i="6" s="1"/>
  <c r="C87" i="6"/>
  <c r="C88" i="5"/>
  <c r="C87" i="1"/>
  <c r="R29" i="6" l="1"/>
  <c r="M30" i="6"/>
  <c r="F30" i="6"/>
  <c r="C88" i="6"/>
  <c r="C89" i="5"/>
  <c r="C88" i="1"/>
  <c r="K30" i="6" l="1"/>
  <c r="L30" i="6" s="1"/>
  <c r="N30" i="6"/>
  <c r="U30" i="6"/>
  <c r="S30" i="6"/>
  <c r="T30" i="6"/>
  <c r="C89" i="6"/>
  <c r="C90" i="5"/>
  <c r="C89" i="1"/>
  <c r="H30" i="6" l="1"/>
  <c r="P30" i="6" s="1"/>
  <c r="J30" i="6"/>
  <c r="R30" i="6" s="1"/>
  <c r="O31" i="6"/>
  <c r="I30" i="6"/>
  <c r="C90" i="6"/>
  <c r="C91" i="5"/>
  <c r="C90" i="1"/>
  <c r="Q30" i="6" l="1"/>
  <c r="F31" i="6"/>
  <c r="M31" i="6"/>
  <c r="C91" i="6"/>
  <c r="C92" i="5"/>
  <c r="C91" i="1"/>
  <c r="N31" i="6" l="1"/>
  <c r="K31" i="6"/>
  <c r="L31" i="6" s="1"/>
  <c r="U31" i="6"/>
  <c r="S31" i="6"/>
  <c r="T31" i="6"/>
  <c r="C92" i="6"/>
  <c r="C93" i="5"/>
  <c r="C92" i="1"/>
  <c r="I31" i="6" l="1"/>
  <c r="Q31" i="6" s="1"/>
  <c r="O32" i="6"/>
  <c r="J31" i="6"/>
  <c r="R31" i="6" s="1"/>
  <c r="H31" i="6"/>
  <c r="C93" i="6"/>
  <c r="C94" i="5"/>
  <c r="C93" i="1"/>
  <c r="P31" i="6" l="1"/>
  <c r="M32" i="6"/>
  <c r="F32" i="6"/>
  <c r="C94" i="6"/>
  <c r="C95" i="5"/>
  <c r="C94" i="1"/>
  <c r="N32" i="6" l="1"/>
  <c r="K32" i="6"/>
  <c r="L32" i="6" s="1"/>
  <c r="U32" i="6"/>
  <c r="T32" i="6"/>
  <c r="S32" i="6"/>
  <c r="C95" i="6"/>
  <c r="C96" i="5"/>
  <c r="C95" i="1"/>
  <c r="H32" i="6" l="1"/>
  <c r="P32" i="6" s="1"/>
  <c r="O33" i="6"/>
  <c r="I32" i="6"/>
  <c r="Q32" i="6" s="1"/>
  <c r="J32" i="6"/>
  <c r="C96" i="6"/>
  <c r="C97" i="5"/>
  <c r="C96" i="1"/>
  <c r="F33" i="6" l="1"/>
  <c r="R32" i="6"/>
  <c r="M33" i="6"/>
  <c r="C97" i="6"/>
  <c r="C98" i="5"/>
  <c r="C97" i="1"/>
  <c r="U33" i="6" l="1"/>
  <c r="S33" i="6"/>
  <c r="T33" i="6"/>
  <c r="N33" i="6"/>
  <c r="K33" i="6"/>
  <c r="L33" i="6" s="1"/>
  <c r="C98" i="6"/>
  <c r="C99" i="5"/>
  <c r="C98" i="1"/>
  <c r="O34" i="6" l="1"/>
  <c r="J33" i="6"/>
  <c r="R33" i="6" s="1"/>
  <c r="H33" i="6"/>
  <c r="I33" i="6"/>
  <c r="C99" i="6"/>
  <c r="C100" i="5"/>
  <c r="C99" i="1"/>
  <c r="P33" i="6" l="1"/>
  <c r="M34" i="6"/>
  <c r="Q33" i="6"/>
  <c r="F34" i="6"/>
  <c r="C100" i="6"/>
  <c r="C101" i="5"/>
  <c r="C100" i="1"/>
  <c r="N34" i="6" l="1"/>
  <c r="K34" i="6"/>
  <c r="L34" i="6" s="1"/>
  <c r="J34" i="6" s="1"/>
  <c r="U34" i="6"/>
  <c r="S34" i="6"/>
  <c r="T34" i="6"/>
  <c r="C101" i="6"/>
  <c r="C102" i="5"/>
  <c r="C101" i="1"/>
  <c r="H34" i="6" l="1"/>
  <c r="I34" i="6"/>
  <c r="Q34" i="6" s="1"/>
  <c r="O35" i="6"/>
  <c r="R34" i="6"/>
  <c r="C102" i="6"/>
  <c r="C103" i="5"/>
  <c r="C102" i="1"/>
  <c r="P34" i="6" l="1"/>
  <c r="F35" i="6"/>
  <c r="M35" i="6"/>
  <c r="C103" i="6"/>
  <c r="C104" i="5"/>
  <c r="C103" i="1"/>
  <c r="U35" i="6" l="1"/>
  <c r="T35" i="6"/>
  <c r="S35" i="6"/>
  <c r="N35" i="6"/>
  <c r="K35" i="6"/>
  <c r="L35" i="6" s="1"/>
  <c r="C104" i="6"/>
  <c r="C105" i="5"/>
  <c r="C104" i="1"/>
  <c r="H35" i="6" l="1"/>
  <c r="P35" i="6" s="1"/>
  <c r="O36" i="6"/>
  <c r="J35" i="6"/>
  <c r="R35" i="6" s="1"/>
  <c r="I35" i="6"/>
  <c r="C105" i="6"/>
  <c r="C106" i="5"/>
  <c r="C105" i="1"/>
  <c r="Q35" i="6" l="1"/>
  <c r="M36" i="6"/>
  <c r="F36" i="6"/>
  <c r="C106" i="6"/>
  <c r="C107" i="5"/>
  <c r="C106" i="1"/>
  <c r="N36" i="6" l="1"/>
  <c r="K36" i="6"/>
  <c r="L36" i="6" s="1"/>
  <c r="U36" i="6"/>
  <c r="S36" i="6"/>
  <c r="T36" i="6"/>
  <c r="C107" i="6"/>
  <c r="C108" i="5"/>
  <c r="C107" i="1"/>
  <c r="I36" i="6" l="1"/>
  <c r="Q36" i="6" s="1"/>
  <c r="J36" i="6"/>
  <c r="R36" i="6" s="1"/>
  <c r="H36" i="6"/>
  <c r="O37" i="6"/>
  <c r="C108" i="6"/>
  <c r="C109" i="5"/>
  <c r="C108" i="1"/>
  <c r="F37" i="6" l="1"/>
  <c r="S37" i="6" s="1"/>
  <c r="P36" i="6"/>
  <c r="M37" i="6"/>
  <c r="C109" i="6"/>
  <c r="C110" i="5"/>
  <c r="C109" i="1"/>
  <c r="U37" i="6" l="1"/>
  <c r="T37" i="6"/>
  <c r="K37" i="6"/>
  <c r="L37" i="6" s="1"/>
  <c r="N37" i="6"/>
  <c r="C110" i="6"/>
  <c r="C111" i="5"/>
  <c r="C110" i="1"/>
  <c r="H37" i="6" l="1"/>
  <c r="P37" i="6" s="1"/>
  <c r="O38" i="6"/>
  <c r="I37" i="6"/>
  <c r="J37" i="6"/>
  <c r="R37" i="6" s="1"/>
  <c r="C111" i="6"/>
  <c r="C112" i="5"/>
  <c r="C111" i="1"/>
  <c r="Q37" i="6" l="1"/>
  <c r="F38" i="6"/>
  <c r="M38" i="6"/>
  <c r="C112" i="6"/>
  <c r="C113" i="5"/>
  <c r="C112" i="1"/>
  <c r="U38" i="6" l="1"/>
  <c r="S38" i="6"/>
  <c r="T38" i="6"/>
  <c r="K38" i="6"/>
  <c r="L38" i="6" s="1"/>
  <c r="N38" i="6"/>
  <c r="C113" i="6"/>
  <c r="C114" i="5"/>
  <c r="C113" i="1"/>
  <c r="J38" i="6" l="1"/>
  <c r="R38" i="6" s="1"/>
  <c r="O39" i="6"/>
  <c r="H38" i="6"/>
  <c r="P38" i="6" s="1"/>
  <c r="I38" i="6"/>
  <c r="Q38" i="6" s="1"/>
  <c r="C114" i="6"/>
  <c r="C115" i="5"/>
  <c r="C114" i="1"/>
  <c r="F39" i="6" l="1"/>
  <c r="M39" i="6"/>
  <c r="C115" i="6"/>
  <c r="C116" i="5"/>
  <c r="C115" i="1"/>
  <c r="U39" i="6" l="1"/>
  <c r="S39" i="6"/>
  <c r="T39" i="6"/>
  <c r="K39" i="6"/>
  <c r="L39" i="6" s="1"/>
  <c r="N39" i="6"/>
  <c r="C116" i="6"/>
  <c r="C117" i="5"/>
  <c r="C116" i="1"/>
  <c r="J39" i="6" l="1"/>
  <c r="R39" i="6" s="1"/>
  <c r="O40" i="6"/>
  <c r="H39" i="6"/>
  <c r="I39" i="6"/>
  <c r="C117" i="6"/>
  <c r="C118" i="5"/>
  <c r="C117" i="1"/>
  <c r="P39" i="6" l="1"/>
  <c r="M40" i="6"/>
  <c r="Q39" i="6"/>
  <c r="F40" i="6"/>
  <c r="T40" i="6" s="1"/>
  <c r="C118" i="6"/>
  <c r="C119" i="5"/>
  <c r="C118" i="1"/>
  <c r="N40" i="6" l="1"/>
  <c r="K40" i="6"/>
  <c r="L40" i="6" s="1"/>
  <c r="U40" i="6"/>
  <c r="S40" i="6"/>
  <c r="C119" i="6"/>
  <c r="C120" i="5"/>
  <c r="C119" i="1"/>
  <c r="I40" i="6" l="1"/>
  <c r="Q40" i="6" s="1"/>
  <c r="H40" i="6"/>
  <c r="P40" i="6" s="1"/>
  <c r="J40" i="6"/>
  <c r="O41" i="6"/>
  <c r="C120" i="6"/>
  <c r="C121" i="5"/>
  <c r="C120" i="1"/>
  <c r="R40" i="6" l="1"/>
  <c r="M41" i="6"/>
  <c r="F41" i="6"/>
  <c r="C121" i="6"/>
  <c r="C122" i="5"/>
  <c r="C121" i="1"/>
  <c r="N41" i="6" l="1"/>
  <c r="K41" i="6"/>
  <c r="L41" i="6" s="1"/>
  <c r="U41" i="6"/>
  <c r="S41" i="6"/>
  <c r="T41" i="6"/>
  <c r="C122" i="6"/>
  <c r="C123" i="5"/>
  <c r="C122" i="1"/>
  <c r="J41" i="6" l="1"/>
  <c r="R41" i="6" s="1"/>
  <c r="O42" i="6"/>
  <c r="H41" i="6"/>
  <c r="I41" i="6"/>
  <c r="Q41" i="6" s="1"/>
  <c r="C123" i="6"/>
  <c r="C124" i="5"/>
  <c r="C123" i="1"/>
  <c r="F42" i="6" l="1"/>
  <c r="S42" i="6" s="1"/>
  <c r="P41" i="6"/>
  <c r="M42" i="6"/>
  <c r="C124" i="6"/>
  <c r="C125" i="5"/>
  <c r="C124" i="1"/>
  <c r="U42" i="6" l="1"/>
  <c r="T42" i="6"/>
  <c r="N42" i="6"/>
  <c r="K42" i="6"/>
  <c r="L42" i="6" s="1"/>
  <c r="H42" i="6" s="1"/>
  <c r="C125" i="6"/>
  <c r="C126" i="5"/>
  <c r="C125" i="1"/>
  <c r="I42" i="6" l="1"/>
  <c r="Q42" i="6" s="1"/>
  <c r="O43" i="6"/>
  <c r="J42" i="6"/>
  <c r="P42" i="6"/>
  <c r="C126" i="6"/>
  <c r="C127" i="5"/>
  <c r="C126" i="1"/>
  <c r="R42" i="6" l="1"/>
  <c r="M43" i="6"/>
  <c r="F43" i="6"/>
  <c r="C127" i="6"/>
  <c r="C128" i="5"/>
  <c r="C127" i="1"/>
  <c r="K43" i="6" l="1"/>
  <c r="L43" i="6" s="1"/>
  <c r="H43" i="6" s="1"/>
  <c r="N43" i="6"/>
  <c r="T43" i="6"/>
  <c r="U43" i="6"/>
  <c r="S43" i="6"/>
  <c r="O44" i="6"/>
  <c r="C128" i="6"/>
  <c r="C129" i="5"/>
  <c r="C128" i="1"/>
  <c r="J43" i="6" l="1"/>
  <c r="R43" i="6" s="1"/>
  <c r="I43" i="6"/>
  <c r="Q43" i="6" s="1"/>
  <c r="P43" i="6"/>
  <c r="C129" i="6"/>
  <c r="C130" i="5"/>
  <c r="C129" i="1"/>
  <c r="M44" i="6" l="1"/>
  <c r="N44" i="6" s="1"/>
  <c r="F44" i="6"/>
  <c r="T44" i="6" s="1"/>
  <c r="C130" i="6"/>
  <c r="C131" i="5"/>
  <c r="C130" i="1"/>
  <c r="K44" i="6" l="1"/>
  <c r="L44" i="6" s="1"/>
  <c r="U44" i="6"/>
  <c r="S44" i="6"/>
  <c r="C131" i="6"/>
  <c r="C132" i="5"/>
  <c r="C131" i="1"/>
  <c r="I44" i="6" l="1"/>
  <c r="Q44" i="6" s="1"/>
  <c r="O45" i="6"/>
  <c r="J44" i="6"/>
  <c r="R44" i="6" s="1"/>
  <c r="H44" i="6"/>
  <c r="P44" i="6" s="1"/>
  <c r="C132" i="6"/>
  <c r="C133" i="5"/>
  <c r="C132" i="1"/>
  <c r="F45" i="6" l="1"/>
  <c r="U45" i="6" s="1"/>
  <c r="M45" i="6"/>
  <c r="N45" i="6" s="1"/>
  <c r="C133" i="6"/>
  <c r="C134" i="5"/>
  <c r="C133" i="1"/>
  <c r="T45" i="6" l="1"/>
  <c r="K45" i="6"/>
  <c r="L45" i="6" s="1"/>
  <c r="H45" i="6" s="1"/>
  <c r="S45" i="6"/>
  <c r="O46" i="6"/>
  <c r="C134" i="6"/>
  <c r="C135" i="5"/>
  <c r="C134" i="1"/>
  <c r="I45" i="6" l="1"/>
  <c r="J45" i="6"/>
  <c r="R45" i="6" s="1"/>
  <c r="P45" i="6"/>
  <c r="C135" i="6"/>
  <c r="C136" i="5"/>
  <c r="C135" i="1"/>
  <c r="Q45" i="6" l="1"/>
  <c r="M46" i="6"/>
  <c r="F46" i="6"/>
  <c r="U46" i="6" s="1"/>
  <c r="C136" i="6"/>
  <c r="C137" i="5"/>
  <c r="C136" i="1"/>
  <c r="N46" i="6" l="1"/>
  <c r="K46" i="6"/>
  <c r="L46" i="6" s="1"/>
  <c r="S46" i="6"/>
  <c r="T46" i="6"/>
  <c r="O47" i="6"/>
  <c r="I46" i="6"/>
  <c r="C137" i="6"/>
  <c r="C138" i="5"/>
  <c r="C137" i="1"/>
  <c r="H46" i="6" l="1"/>
  <c r="P46" i="6" s="1"/>
  <c r="J46" i="6"/>
  <c r="Q46" i="6"/>
  <c r="C138" i="6"/>
  <c r="C139" i="5"/>
  <c r="C138" i="1"/>
  <c r="R46" i="6" l="1"/>
  <c r="M47" i="6"/>
  <c r="F47" i="6"/>
  <c r="C139" i="6"/>
  <c r="C140" i="5"/>
  <c r="C139" i="1"/>
  <c r="K47" i="6" l="1"/>
  <c r="L47" i="6" s="1"/>
  <c r="H47" i="6" s="1"/>
  <c r="P47" i="6" s="1"/>
  <c r="N47" i="6"/>
  <c r="T47" i="6"/>
  <c r="U47" i="6"/>
  <c r="S47" i="6"/>
  <c r="I47" i="6"/>
  <c r="Q47" i="6" s="1"/>
  <c r="O48" i="6"/>
  <c r="J47" i="6"/>
  <c r="C140" i="6"/>
  <c r="C141" i="5"/>
  <c r="C140" i="1"/>
  <c r="R47" i="6" l="1"/>
  <c r="F48" i="6"/>
  <c r="M48" i="6"/>
  <c r="C141" i="6"/>
  <c r="C142" i="5"/>
  <c r="C141" i="1"/>
  <c r="U48" i="6" l="1"/>
  <c r="S48" i="6"/>
  <c r="T48" i="6"/>
  <c r="N48" i="6"/>
  <c r="K48" i="6"/>
  <c r="L48" i="6" s="1"/>
  <c r="C142" i="6"/>
  <c r="C143" i="5"/>
  <c r="C142" i="1"/>
  <c r="H48" i="6" l="1"/>
  <c r="P48" i="6" s="1"/>
  <c r="O49" i="6"/>
  <c r="J48" i="6"/>
  <c r="R48" i="6" s="1"/>
  <c r="I48" i="6"/>
  <c r="C143" i="6"/>
  <c r="C144" i="5"/>
  <c r="C143" i="1"/>
  <c r="Q48" i="6" l="1"/>
  <c r="M49" i="6"/>
  <c r="F49" i="6"/>
  <c r="C144" i="6"/>
  <c r="C145" i="5"/>
  <c r="C144" i="1"/>
  <c r="K49" i="6" l="1"/>
  <c r="L49" i="6" s="1"/>
  <c r="N49" i="6"/>
  <c r="U49" i="6"/>
  <c r="S49" i="6"/>
  <c r="T49" i="6"/>
  <c r="C145" i="6"/>
  <c r="C146" i="5"/>
  <c r="C145" i="1"/>
  <c r="H49" i="6" l="1"/>
  <c r="P49" i="6" s="1"/>
  <c r="J49" i="6"/>
  <c r="R49" i="6" s="1"/>
  <c r="I49" i="6"/>
  <c r="O50" i="6"/>
  <c r="C146" i="6"/>
  <c r="C147" i="5"/>
  <c r="C146" i="1"/>
  <c r="Q49" i="6" l="1"/>
  <c r="M50" i="6"/>
  <c r="F50" i="6"/>
  <c r="C147" i="6"/>
  <c r="C148" i="5"/>
  <c r="C147" i="1"/>
  <c r="U50" i="6" l="1"/>
  <c r="S50" i="6"/>
  <c r="T50" i="6"/>
  <c r="K50" i="6"/>
  <c r="L50" i="6" s="1"/>
  <c r="J50" i="6" s="1"/>
  <c r="R50" i="6" s="1"/>
  <c r="N50" i="6"/>
  <c r="C148" i="6"/>
  <c r="C149" i="5"/>
  <c r="C148" i="1"/>
  <c r="H50" i="6" l="1"/>
  <c r="P50" i="6" s="1"/>
  <c r="I50" i="6"/>
  <c r="O51" i="6"/>
  <c r="C149" i="6"/>
  <c r="C150" i="5"/>
  <c r="C149" i="1"/>
  <c r="Q50" i="6" l="1"/>
  <c r="M51" i="6"/>
  <c r="F51" i="6"/>
  <c r="C150" i="6"/>
  <c r="C151" i="5"/>
  <c r="C150" i="1"/>
  <c r="U51" i="6" l="1"/>
  <c r="S51" i="6"/>
  <c r="T51" i="6"/>
  <c r="N51" i="6"/>
  <c r="K51" i="6"/>
  <c r="L51" i="6" s="1"/>
  <c r="C151" i="6"/>
  <c r="C152" i="6" s="1"/>
  <c r="C151" i="1"/>
  <c r="C152" i="1" s="1"/>
  <c r="I51" i="6" l="1"/>
  <c r="Q51" i="6" s="1"/>
  <c r="H51" i="6"/>
  <c r="P51" i="6" s="1"/>
  <c r="O52" i="6"/>
  <c r="J51" i="6"/>
  <c r="C153" i="6"/>
  <c r="C153" i="1"/>
  <c r="R51" i="6" l="1"/>
  <c r="F52" i="6"/>
  <c r="M52" i="6"/>
  <c r="C154" i="6"/>
  <c r="C154" i="1"/>
  <c r="U52" i="6" l="1"/>
  <c r="S52" i="6"/>
  <c r="T52" i="6"/>
  <c r="K52" i="6"/>
  <c r="L52" i="6" s="1"/>
  <c r="N52" i="6"/>
  <c r="C155" i="6"/>
  <c r="C155" i="1"/>
  <c r="J52" i="6" l="1"/>
  <c r="R52" i="6" s="1"/>
  <c r="O53" i="6"/>
  <c r="H52" i="6"/>
  <c r="P52" i="6" s="1"/>
  <c r="I52" i="6"/>
  <c r="C156" i="6"/>
  <c r="C156" i="1"/>
  <c r="Q52" i="6" l="1"/>
  <c r="M53" i="6"/>
  <c r="F53" i="6"/>
  <c r="C157" i="6"/>
  <c r="C157" i="1"/>
  <c r="N53" i="6" l="1"/>
  <c r="K53" i="6"/>
  <c r="L53" i="6" s="1"/>
  <c r="U53" i="6"/>
  <c r="S53" i="6"/>
  <c r="T53" i="6"/>
  <c r="C158" i="6"/>
  <c r="C158" i="1"/>
  <c r="J53" i="6" l="1"/>
  <c r="R53" i="6" s="1"/>
  <c r="H53" i="6"/>
  <c r="P53" i="6" s="1"/>
  <c r="O54" i="6"/>
  <c r="I53" i="6"/>
  <c r="C159" i="6"/>
  <c r="C159" i="1"/>
  <c r="Q53" i="6" l="1"/>
  <c r="F54" i="6"/>
  <c r="U54" i="6" s="1"/>
  <c r="M54" i="6"/>
  <c r="C160" i="6"/>
  <c r="C160" i="1"/>
  <c r="K54" i="6" l="1"/>
  <c r="L54" i="6" s="1"/>
  <c r="N54" i="6"/>
  <c r="T54" i="6"/>
  <c r="S54" i="6"/>
  <c r="C161" i="6"/>
  <c r="C161" i="1"/>
  <c r="J54" i="6" l="1"/>
  <c r="R54" i="6" s="1"/>
  <c r="O55" i="6"/>
  <c r="H54" i="6"/>
  <c r="I54" i="6"/>
  <c r="P54" i="6" l="1"/>
  <c r="F55" i="6"/>
  <c r="S55" i="6" s="1"/>
  <c r="M55" i="6"/>
  <c r="Q54" i="6"/>
  <c r="K55" i="6" l="1"/>
  <c r="L55" i="6" s="1"/>
  <c r="N55" i="6"/>
  <c r="U55" i="6"/>
  <c r="T55" i="6"/>
  <c r="I55" i="6" l="1"/>
  <c r="Q55" i="6" s="1"/>
  <c r="O56" i="6"/>
  <c r="J55" i="6"/>
  <c r="H55" i="6"/>
  <c r="P55" i="6" s="1"/>
  <c r="R55" i="6" l="1"/>
  <c r="F56" i="6"/>
  <c r="T56" i="6" s="1"/>
  <c r="M56" i="6"/>
  <c r="S56" i="6" l="1"/>
  <c r="U56" i="6"/>
  <c r="K56" i="6"/>
  <c r="L56" i="6" s="1"/>
  <c r="N56" i="6"/>
  <c r="I56" i="6" l="1"/>
  <c r="Q56" i="6" s="1"/>
  <c r="O57" i="6"/>
  <c r="H56" i="6"/>
  <c r="P56" i="6" s="1"/>
  <c r="J56" i="6"/>
  <c r="R56" i="6" l="1"/>
  <c r="F57" i="6"/>
  <c r="M57" i="6"/>
  <c r="K57" i="6" l="1"/>
  <c r="L57" i="6" s="1"/>
  <c r="N57" i="6"/>
  <c r="U57" i="6"/>
  <c r="S57" i="6"/>
  <c r="T57" i="6"/>
  <c r="O58" i="6" l="1"/>
  <c r="J57" i="6"/>
  <c r="R57" i="6" s="1"/>
  <c r="H57" i="6"/>
  <c r="I57" i="6"/>
  <c r="Q57" i="6" s="1"/>
  <c r="F58" i="6" l="1"/>
  <c r="P57" i="6"/>
  <c r="M58" i="6"/>
  <c r="U58" i="6" l="1"/>
  <c r="S58" i="6"/>
  <c r="T58" i="6"/>
  <c r="N58" i="6"/>
  <c r="K58" i="6"/>
  <c r="L58" i="6" s="1"/>
  <c r="H58" i="6" l="1"/>
  <c r="P58" i="6" s="1"/>
  <c r="O59" i="6"/>
  <c r="J58" i="6"/>
  <c r="R58" i="6" s="1"/>
  <c r="I58" i="6"/>
  <c r="M59" i="6" l="1"/>
  <c r="Q58" i="6"/>
  <c r="F59" i="6"/>
  <c r="N59" i="6" l="1"/>
  <c r="K59" i="6"/>
  <c r="L59" i="6" s="1"/>
  <c r="U59" i="6"/>
  <c r="T59" i="6"/>
  <c r="S59" i="6"/>
  <c r="H59" i="6" l="1"/>
  <c r="P59" i="6" s="1"/>
  <c r="O60" i="6"/>
  <c r="I59" i="6"/>
  <c r="Q59" i="6" s="1"/>
  <c r="J59" i="6"/>
  <c r="R59" i="6" s="1"/>
  <c r="M60" i="6" l="1"/>
  <c r="K60" i="6" s="1"/>
  <c r="L60" i="6" s="1"/>
  <c r="F60" i="6"/>
  <c r="S60" i="6" s="1"/>
  <c r="N60" i="6" l="1"/>
  <c r="I60" i="6"/>
  <c r="Q60" i="6" s="1"/>
  <c r="T60" i="6"/>
  <c r="U60" i="6"/>
  <c r="H60" i="6"/>
  <c r="P60" i="6" s="1"/>
  <c r="O61" i="6"/>
  <c r="J60" i="6"/>
  <c r="R60" i="6" l="1"/>
  <c r="M61" i="6"/>
  <c r="F61" i="6"/>
  <c r="T61" i="6" s="1"/>
  <c r="N61" i="6" l="1"/>
  <c r="K61" i="6"/>
  <c r="L61" i="6" s="1"/>
  <c r="U61" i="6"/>
  <c r="S61" i="6"/>
  <c r="J61" i="6" l="1"/>
  <c r="R61" i="6" s="1"/>
  <c r="O62" i="6"/>
  <c r="H61" i="6"/>
  <c r="P61" i="6" s="1"/>
  <c r="I61" i="6"/>
  <c r="M62" i="6" l="1"/>
  <c r="Q61" i="6"/>
  <c r="F62" i="6"/>
  <c r="K62" i="6" l="1"/>
  <c r="L62" i="6" s="1"/>
  <c r="N62" i="6"/>
  <c r="U62" i="6"/>
  <c r="S62" i="6"/>
  <c r="T62" i="6"/>
  <c r="J62" i="6" l="1"/>
  <c r="R62" i="6" s="1"/>
  <c r="O63" i="6"/>
  <c r="H62" i="6"/>
  <c r="I62" i="6"/>
  <c r="P62" i="6" l="1"/>
  <c r="F63" i="6"/>
  <c r="T63" i="6" s="1"/>
  <c r="M63" i="6"/>
  <c r="Q62" i="6"/>
  <c r="N63" i="6" l="1"/>
  <c r="K63" i="6"/>
  <c r="L63" i="6" s="1"/>
  <c r="U63" i="6"/>
  <c r="S63" i="6"/>
  <c r="O64" i="6" l="1"/>
  <c r="I63" i="6"/>
  <c r="Q63" i="6" s="1"/>
  <c r="H63" i="6"/>
  <c r="J63" i="6"/>
  <c r="P63" i="6" l="1"/>
  <c r="F64" i="6"/>
  <c r="T64" i="6" s="1"/>
  <c r="M64" i="6"/>
  <c r="R63" i="6"/>
  <c r="U64" i="6" l="1"/>
  <c r="S64" i="6"/>
  <c r="N64" i="6"/>
  <c r="K64" i="6"/>
  <c r="L64" i="6" s="1"/>
  <c r="I64" i="6" l="1"/>
  <c r="Q64" i="6" s="1"/>
  <c r="J64" i="6"/>
  <c r="R64" i="6" s="1"/>
  <c r="H64" i="6"/>
  <c r="O65" i="6"/>
  <c r="P64" i="6" l="1"/>
  <c r="F65" i="6"/>
  <c r="M65" i="6"/>
  <c r="U65" i="6" l="1"/>
  <c r="S65" i="6"/>
  <c r="T65" i="6"/>
  <c r="N65" i="6"/>
  <c r="K65" i="6"/>
  <c r="L65" i="6" s="1"/>
  <c r="H65" i="6" l="1"/>
  <c r="P65" i="6" s="1"/>
  <c r="O66" i="6"/>
  <c r="J65" i="6"/>
  <c r="I65" i="6"/>
  <c r="Q65" i="6" l="1"/>
  <c r="F66" i="6"/>
  <c r="R65" i="6"/>
  <c r="M66" i="6"/>
  <c r="U66" i="6" l="1"/>
  <c r="S66" i="6"/>
  <c r="T66" i="6"/>
  <c r="K66" i="6"/>
  <c r="L66" i="6" s="1"/>
  <c r="J66" i="6" s="1"/>
  <c r="N66" i="6"/>
  <c r="O67" i="6"/>
  <c r="I66" i="6" l="1"/>
  <c r="H66" i="6"/>
  <c r="P66" i="6" s="1"/>
  <c r="R66" i="6"/>
  <c r="Q66" i="6" l="1"/>
  <c r="F67" i="6"/>
  <c r="M67" i="6"/>
  <c r="U67" i="6" l="1"/>
  <c r="T67" i="6"/>
  <c r="S67" i="6"/>
  <c r="K67" i="6"/>
  <c r="L67" i="6" s="1"/>
  <c r="N67" i="6"/>
  <c r="I67" i="6" l="1"/>
  <c r="Q67" i="6" s="1"/>
  <c r="O68" i="6"/>
  <c r="J67" i="6"/>
  <c r="R67" i="6" s="1"/>
  <c r="H67" i="6"/>
  <c r="F68" i="6" l="1"/>
  <c r="P67" i="6"/>
  <c r="M68" i="6"/>
  <c r="U68" i="6" l="1"/>
  <c r="S68" i="6"/>
  <c r="T68" i="6"/>
  <c r="N68" i="6"/>
  <c r="K68" i="6"/>
  <c r="L68" i="6" s="1"/>
  <c r="H68" i="6" s="1"/>
  <c r="O69" i="6" l="1"/>
  <c r="J68" i="6"/>
  <c r="R68" i="6" s="1"/>
  <c r="I68" i="6"/>
  <c r="P68" i="6"/>
  <c r="Q68" i="6" l="1"/>
  <c r="F69" i="6"/>
  <c r="M69" i="6"/>
  <c r="T69" i="6" l="1"/>
  <c r="U69" i="6"/>
  <c r="S69" i="6"/>
  <c r="K69" i="6"/>
  <c r="L69" i="6" s="1"/>
  <c r="N69" i="6"/>
  <c r="I69" i="6" l="1"/>
  <c r="Q69" i="6" s="1"/>
  <c r="J69" i="6"/>
  <c r="R69" i="6" s="1"/>
  <c r="H69" i="6"/>
  <c r="O70" i="6"/>
  <c r="M70" i="6" l="1"/>
  <c r="P69" i="6"/>
  <c r="F70" i="6"/>
  <c r="U70" i="6" s="1"/>
  <c r="N70" i="6" l="1"/>
  <c r="K70" i="6"/>
  <c r="L70" i="6" s="1"/>
  <c r="S70" i="6"/>
  <c r="T70" i="6"/>
  <c r="I70" i="6" l="1"/>
  <c r="Q70" i="6" s="1"/>
  <c r="J70" i="6"/>
  <c r="R70" i="6" s="1"/>
  <c r="H70" i="6"/>
  <c r="O71" i="6"/>
  <c r="P70" i="6" l="1"/>
  <c r="M71" i="6"/>
  <c r="F71" i="6"/>
  <c r="K71" i="6" l="1"/>
  <c r="L71" i="6" s="1"/>
  <c r="J71" i="6" s="1"/>
  <c r="N71" i="6"/>
  <c r="S71" i="6"/>
  <c r="T71" i="6"/>
  <c r="U71" i="6"/>
  <c r="O72" i="6"/>
  <c r="I71" i="6" l="1"/>
  <c r="Q71" i="6" s="1"/>
  <c r="H71" i="6"/>
  <c r="R71" i="6"/>
  <c r="P71" i="6" l="1"/>
  <c r="M72" i="6"/>
  <c r="F72" i="6"/>
  <c r="N72" i="6" l="1"/>
  <c r="K72" i="6"/>
  <c r="L72" i="6" s="1"/>
  <c r="J72" i="6" s="1"/>
  <c r="R72" i="6" s="1"/>
  <c r="U72" i="6"/>
  <c r="S72" i="6"/>
  <c r="T72" i="6"/>
  <c r="O73" i="6"/>
  <c r="I72" i="6" l="1"/>
  <c r="Q72" i="6" s="1"/>
  <c r="H72" i="6"/>
  <c r="P72" i="6" s="1"/>
  <c r="M73" i="6" l="1"/>
  <c r="N73" i="6" s="1"/>
  <c r="F73" i="6"/>
  <c r="T73" i="6" s="1"/>
  <c r="S73" i="6" l="1"/>
  <c r="U73" i="6"/>
  <c r="K73" i="6"/>
  <c r="L73" i="6" s="1"/>
  <c r="J73" i="6" l="1"/>
  <c r="R73" i="6" s="1"/>
  <c r="O74" i="6"/>
  <c r="I73" i="6"/>
  <c r="Q73" i="6" s="1"/>
  <c r="H73" i="6"/>
  <c r="P73" i="6" s="1"/>
  <c r="F74" i="6" l="1"/>
  <c r="U74" i="6" s="1"/>
  <c r="M74" i="6"/>
  <c r="N74" i="6" s="1"/>
  <c r="K74" i="6" l="1"/>
  <c r="L74" i="6" s="1"/>
  <c r="H74" i="6" s="1"/>
  <c r="P74" i="6" s="1"/>
  <c r="T74" i="6"/>
  <c r="S74" i="6"/>
  <c r="O75" i="6"/>
  <c r="I74" i="6" l="1"/>
  <c r="Q74" i="6" s="1"/>
  <c r="J74" i="6"/>
  <c r="R74" i="6" s="1"/>
  <c r="F75" i="6" l="1"/>
  <c r="S75" i="6" s="1"/>
  <c r="M75" i="6"/>
  <c r="K75" i="6" s="1"/>
  <c r="L75" i="6" s="1"/>
  <c r="N75" i="6" l="1"/>
  <c r="T75" i="6"/>
  <c r="U75" i="6"/>
  <c r="H75" i="6"/>
  <c r="P75" i="6" s="1"/>
  <c r="O76" i="6"/>
  <c r="I75" i="6"/>
  <c r="Q75" i="6" s="1"/>
  <c r="J75" i="6"/>
  <c r="R75" i="6" l="1"/>
  <c r="F76" i="6"/>
  <c r="M76" i="6"/>
  <c r="U76" i="6" l="1"/>
  <c r="S76" i="6"/>
  <c r="T76" i="6"/>
  <c r="K76" i="6"/>
  <c r="L76" i="6" s="1"/>
  <c r="N76" i="6"/>
  <c r="H76" i="6" l="1"/>
  <c r="P76" i="6" s="1"/>
  <c r="J76" i="6"/>
  <c r="R76" i="6" s="1"/>
  <c r="I76" i="6"/>
  <c r="O77" i="6"/>
  <c r="M77" i="6" l="1"/>
  <c r="Q76" i="6"/>
  <c r="F77" i="6"/>
  <c r="N77" i="6" l="1"/>
  <c r="K77" i="6"/>
  <c r="L77" i="6" s="1"/>
  <c r="O78" i="6" s="1"/>
  <c r="U77" i="6"/>
  <c r="S77" i="6"/>
  <c r="T77" i="6"/>
  <c r="I77" i="6" l="1"/>
  <c r="Q77" i="6" s="1"/>
  <c r="J77" i="6"/>
  <c r="R77" i="6" s="1"/>
  <c r="H77" i="6"/>
  <c r="M78" i="6" l="1"/>
  <c r="P77" i="6"/>
  <c r="F78" i="6"/>
  <c r="N78" i="6" l="1"/>
  <c r="K78" i="6"/>
  <c r="L78" i="6" s="1"/>
  <c r="U78" i="6"/>
  <c r="S78" i="6"/>
  <c r="T78" i="6"/>
  <c r="I78" i="6" l="1"/>
  <c r="Q78" i="6" s="1"/>
  <c r="O79" i="6"/>
  <c r="J78" i="6"/>
  <c r="R78" i="6" s="1"/>
  <c r="H78" i="6"/>
  <c r="P78" i="6" l="1"/>
  <c r="M79" i="6"/>
  <c r="F79" i="6"/>
  <c r="S79" i="6" s="1"/>
  <c r="K79" i="6" l="1"/>
  <c r="L79" i="6" s="1"/>
  <c r="J79" i="6" s="1"/>
  <c r="R79" i="6" s="1"/>
  <c r="N79" i="6"/>
  <c r="U79" i="6"/>
  <c r="T79" i="6"/>
  <c r="O80" i="6"/>
  <c r="H79" i="6" l="1"/>
  <c r="I79" i="6"/>
  <c r="P79" i="6" l="1"/>
  <c r="M80" i="6"/>
  <c r="Q79" i="6"/>
  <c r="F80" i="6"/>
  <c r="N80" i="6" l="1"/>
  <c r="K80" i="6"/>
  <c r="L80" i="6" s="1"/>
  <c r="O81" i="6" s="1"/>
  <c r="U80" i="6"/>
  <c r="S80" i="6"/>
  <c r="T80" i="6"/>
  <c r="J80" i="6" l="1"/>
  <c r="R80" i="6" s="1"/>
  <c r="H80" i="6"/>
  <c r="I80" i="6"/>
  <c r="P80" i="6" l="1"/>
  <c r="M81" i="6"/>
  <c r="Q80" i="6"/>
  <c r="F81" i="6"/>
  <c r="N81" i="6" l="1"/>
  <c r="K81" i="6"/>
  <c r="L81" i="6" s="1"/>
  <c r="I81" i="6" s="1"/>
  <c r="Q81" i="6" s="1"/>
  <c r="U81" i="6"/>
  <c r="S81" i="6"/>
  <c r="T81" i="6"/>
  <c r="O82" i="6"/>
  <c r="J81" i="6" l="1"/>
  <c r="R81" i="6" s="1"/>
  <c r="H81" i="6"/>
  <c r="P81" i="6" s="1"/>
  <c r="F82" i="6" l="1"/>
  <c r="U82" i="6" s="1"/>
  <c r="M82" i="6"/>
  <c r="N82" i="6" s="1"/>
  <c r="T82" i="6" l="1"/>
  <c r="S82" i="6"/>
  <c r="K82" i="6"/>
  <c r="L82" i="6" s="1"/>
  <c r="I82" i="6" s="1"/>
  <c r="Q82" i="6" s="1"/>
  <c r="O83" i="6"/>
  <c r="H82" i="6" l="1"/>
  <c r="P82" i="6" s="1"/>
  <c r="J82" i="6"/>
  <c r="R82" i="6" s="1"/>
  <c r="F83" i="6" l="1"/>
  <c r="U83" i="6" s="1"/>
  <c r="M83" i="6"/>
  <c r="N83" i="6" s="1"/>
  <c r="K83" i="6" l="1"/>
  <c r="L83" i="6" s="1"/>
  <c r="T83" i="6"/>
  <c r="S83" i="6"/>
  <c r="O84" i="6"/>
  <c r="H83" i="6" l="1"/>
  <c r="P83" i="6" s="1"/>
  <c r="I83" i="6"/>
  <c r="Q83" i="6" s="1"/>
  <c r="J83" i="6"/>
  <c r="R83" i="6" s="1"/>
  <c r="F84" i="6" l="1"/>
  <c r="U84" i="6" s="1"/>
  <c r="M84" i="6"/>
  <c r="N84" i="6" s="1"/>
  <c r="S84" i="6" l="1"/>
  <c r="T84" i="6"/>
  <c r="K84" i="6"/>
  <c r="L84" i="6" s="1"/>
  <c r="H84" i="6" l="1"/>
  <c r="P84" i="6" s="1"/>
  <c r="O85" i="6"/>
  <c r="J84" i="6"/>
  <c r="R84" i="6" s="1"/>
  <c r="I84" i="6"/>
  <c r="Q84" i="6" s="1"/>
  <c r="M85" i="6" l="1"/>
  <c r="N85" i="6" s="1"/>
  <c r="F85" i="6"/>
  <c r="U85" i="6" s="1"/>
  <c r="K85" i="6" l="1"/>
  <c r="L85" i="6" s="1"/>
  <c r="J85" i="6" s="1"/>
  <c r="R85" i="6" s="1"/>
  <c r="T85" i="6"/>
  <c r="S85" i="6"/>
  <c r="H85" i="6" l="1"/>
  <c r="P85" i="6" s="1"/>
  <c r="O86" i="6"/>
  <c r="I85" i="6"/>
  <c r="Q85" i="6" s="1"/>
  <c r="F86" i="6" l="1"/>
  <c r="U86" i="6" s="1"/>
  <c r="M86" i="6"/>
  <c r="N86" i="6" s="1"/>
  <c r="S86" i="6" l="1"/>
  <c r="T86" i="6"/>
  <c r="K86" i="6"/>
  <c r="L86" i="6" s="1"/>
  <c r="J86" i="6" s="1"/>
  <c r="R86" i="6" s="1"/>
  <c r="O87" i="6"/>
  <c r="H86" i="6" l="1"/>
  <c r="I86" i="6"/>
  <c r="M87" i="6" l="1"/>
  <c r="P86" i="6"/>
  <c r="Q86" i="6"/>
  <c r="F87" i="6"/>
  <c r="K87" i="6" l="1"/>
  <c r="L87" i="6" s="1"/>
  <c r="N87" i="6"/>
  <c r="U87" i="6"/>
  <c r="S87" i="6"/>
  <c r="T87" i="6"/>
  <c r="I87" i="6" l="1"/>
  <c r="Q87" i="6" s="1"/>
  <c r="H87" i="6"/>
  <c r="P87" i="6" s="1"/>
  <c r="O88" i="6"/>
  <c r="J87" i="6"/>
  <c r="R87" i="6" l="1"/>
  <c r="M88" i="6"/>
  <c r="F88" i="6"/>
  <c r="U88" i="6" s="1"/>
  <c r="N88" i="6" l="1"/>
  <c r="K88" i="6"/>
  <c r="L88" i="6" s="1"/>
  <c r="J88" i="6" s="1"/>
  <c r="S88" i="6"/>
  <c r="T88" i="6"/>
  <c r="O89" i="6"/>
  <c r="I88" i="6" l="1"/>
  <c r="Q88" i="6" s="1"/>
  <c r="H88" i="6"/>
  <c r="R88" i="6"/>
  <c r="F89" i="6" l="1"/>
  <c r="M89" i="6"/>
  <c r="P88" i="6"/>
  <c r="U89" i="6" l="1"/>
  <c r="S89" i="6"/>
  <c r="T89" i="6"/>
  <c r="K89" i="6"/>
  <c r="L89" i="6" s="1"/>
  <c r="I89" i="6" s="1"/>
  <c r="Q89" i="6" s="1"/>
  <c r="N89" i="6"/>
  <c r="J89" i="6"/>
  <c r="O90" i="6" l="1"/>
  <c r="H89" i="6"/>
  <c r="M90" i="6" s="1"/>
  <c r="R89" i="6"/>
  <c r="P89" i="6" l="1"/>
  <c r="F90" i="6"/>
  <c r="N90" i="6"/>
  <c r="K90" i="6"/>
  <c r="L90" i="6" s="1"/>
  <c r="U90" i="6" l="1"/>
  <c r="S90" i="6"/>
  <c r="T90" i="6"/>
  <c r="I90" i="6"/>
  <c r="Q90" i="6" s="1"/>
  <c r="J90" i="6"/>
  <c r="R90" i="6" s="1"/>
  <c r="O91" i="6"/>
  <c r="H90" i="6"/>
  <c r="P90" i="6" l="1"/>
  <c r="M91" i="6"/>
  <c r="F91" i="6"/>
  <c r="K91" i="6" l="1"/>
  <c r="L91" i="6" s="1"/>
  <c r="N91" i="6"/>
  <c r="U91" i="6"/>
  <c r="S91" i="6"/>
  <c r="T91" i="6"/>
  <c r="O92" i="6" l="1"/>
  <c r="H91" i="6"/>
  <c r="P91" i="6" s="1"/>
  <c r="J91" i="6"/>
  <c r="R91" i="6" s="1"/>
  <c r="I91" i="6"/>
  <c r="Q91" i="6" l="1"/>
  <c r="F92" i="6"/>
  <c r="M92" i="6"/>
  <c r="U92" i="6" l="1"/>
  <c r="T92" i="6"/>
  <c r="S92" i="6"/>
  <c r="N92" i="6"/>
  <c r="K92" i="6"/>
  <c r="L92" i="6" s="1"/>
  <c r="H92" i="6" l="1"/>
  <c r="P92" i="6" s="1"/>
  <c r="J92" i="6"/>
  <c r="R92" i="6" s="1"/>
  <c r="I92" i="6"/>
  <c r="O93" i="6"/>
  <c r="F93" i="6" l="1"/>
  <c r="Q92" i="6"/>
  <c r="M93" i="6"/>
  <c r="U93" i="6" l="1"/>
  <c r="S93" i="6"/>
  <c r="T93" i="6"/>
  <c r="N93" i="6"/>
  <c r="K93" i="6"/>
  <c r="L93" i="6" s="1"/>
  <c r="J93" i="6" l="1"/>
  <c r="R93" i="6" s="1"/>
  <c r="O94" i="6"/>
  <c r="I93" i="6"/>
  <c r="Q93" i="6" s="1"/>
  <c r="H93" i="6"/>
  <c r="P93" i="6" l="1"/>
  <c r="F94" i="6"/>
  <c r="M94" i="6"/>
  <c r="U94" i="6" l="1"/>
  <c r="S94" i="6"/>
  <c r="T94" i="6"/>
  <c r="N94" i="6"/>
  <c r="K94" i="6"/>
  <c r="L94" i="6" s="1"/>
  <c r="J94" i="6" l="1"/>
  <c r="R94" i="6" s="1"/>
  <c r="O95" i="6"/>
  <c r="I94" i="6"/>
  <c r="Q94" i="6" s="1"/>
  <c r="H94" i="6"/>
  <c r="P94" i="6" l="1"/>
  <c r="F95" i="6"/>
  <c r="M95" i="6"/>
  <c r="K95" i="6" l="1"/>
  <c r="L95" i="6" s="1"/>
  <c r="N95" i="6"/>
  <c r="U95" i="6"/>
  <c r="S95" i="6"/>
  <c r="T95" i="6"/>
  <c r="I95" i="6" l="1"/>
  <c r="Q95" i="6" s="1"/>
  <c r="J95" i="6"/>
  <c r="R95" i="6" s="1"/>
  <c r="H95" i="6"/>
  <c r="O96" i="6"/>
  <c r="M96" i="6" l="1"/>
  <c r="P95" i="6"/>
  <c r="F96" i="6"/>
  <c r="T96" i="6" s="1"/>
  <c r="K96" i="6" l="1"/>
  <c r="L96" i="6" s="1"/>
  <c r="I96" i="6" s="1"/>
  <c r="Q96" i="6" s="1"/>
  <c r="N96" i="6"/>
  <c r="U96" i="6"/>
  <c r="S96" i="6"/>
  <c r="O97" i="6"/>
  <c r="H96" i="6" l="1"/>
  <c r="P96" i="6" s="1"/>
  <c r="J96" i="6"/>
  <c r="R96" i="6" l="1"/>
  <c r="M97" i="6"/>
  <c r="F97" i="6"/>
  <c r="N97" i="6" l="1"/>
  <c r="K97" i="6"/>
  <c r="L97" i="6" s="1"/>
  <c r="U97" i="6"/>
  <c r="S97" i="6"/>
  <c r="T97" i="6"/>
  <c r="O98" i="6" l="1"/>
  <c r="H97" i="6"/>
  <c r="P97" i="6" s="1"/>
  <c r="J97" i="6"/>
  <c r="R97" i="6" s="1"/>
  <c r="I97" i="6"/>
  <c r="Q97" i="6" l="1"/>
  <c r="M98" i="6"/>
  <c r="F98" i="6"/>
  <c r="K98" i="6" l="1"/>
  <c r="L98" i="6" s="1"/>
  <c r="H98" i="6" s="1"/>
  <c r="P98" i="6" s="1"/>
  <c r="N98" i="6"/>
  <c r="U98" i="6"/>
  <c r="S98" i="6"/>
  <c r="T98" i="6"/>
  <c r="O99" i="6"/>
  <c r="I98" i="6" l="1"/>
  <c r="J98" i="6"/>
  <c r="R98" i="6" l="1"/>
  <c r="F99" i="6"/>
  <c r="M99" i="6"/>
  <c r="Q98" i="6"/>
  <c r="U99" i="6" l="1"/>
  <c r="S99" i="6"/>
  <c r="T99" i="6"/>
  <c r="K99" i="6"/>
  <c r="L99" i="6" s="1"/>
  <c r="N99" i="6"/>
  <c r="J99" i="6" l="1"/>
  <c r="R99" i="6" s="1"/>
  <c r="O100" i="6"/>
  <c r="I99" i="6"/>
  <c r="Q99" i="6" s="1"/>
  <c r="H99" i="6"/>
  <c r="P99" i="6" l="1"/>
  <c r="F100" i="6"/>
  <c r="M100" i="6"/>
  <c r="U100" i="6" l="1"/>
  <c r="S100" i="6"/>
  <c r="T100" i="6"/>
  <c r="N100" i="6"/>
  <c r="K100" i="6"/>
  <c r="L100" i="6" s="1"/>
  <c r="J100" i="6" l="1"/>
  <c r="R100" i="6" s="1"/>
  <c r="O101" i="6"/>
  <c r="I100" i="6"/>
  <c r="Q100" i="6" s="1"/>
  <c r="H100" i="6"/>
  <c r="M101" i="6" l="1"/>
  <c r="F101" i="6"/>
  <c r="P100" i="6"/>
  <c r="K101" i="6" l="1"/>
  <c r="L101" i="6" s="1"/>
  <c r="J101" i="6" s="1"/>
  <c r="R101" i="6" s="1"/>
  <c r="N101" i="6"/>
  <c r="U101" i="6"/>
  <c r="S101" i="6"/>
  <c r="T101" i="6"/>
  <c r="O102" i="6"/>
  <c r="I101" i="6" l="1"/>
  <c r="H101" i="6"/>
  <c r="P101" i="6" s="1"/>
  <c r="Q101" i="6" l="1"/>
  <c r="M102" i="6"/>
  <c r="F102" i="6"/>
  <c r="N102" i="6" l="1"/>
  <c r="K102" i="6"/>
  <c r="L102" i="6" s="1"/>
  <c r="J102" i="6" s="1"/>
  <c r="U102" i="6"/>
  <c r="S102" i="6"/>
  <c r="T102" i="6"/>
  <c r="I102" i="6" l="1"/>
  <c r="Q102" i="6" s="1"/>
  <c r="O103" i="6"/>
  <c r="H102" i="6"/>
  <c r="R102" i="6"/>
  <c r="P102" i="6" l="1"/>
  <c r="M103" i="6"/>
  <c r="F103" i="6"/>
  <c r="K103" i="6" l="1"/>
  <c r="L103" i="6" s="1"/>
  <c r="H103" i="6" s="1"/>
  <c r="P103" i="6" s="1"/>
  <c r="N103" i="6"/>
  <c r="U103" i="6"/>
  <c r="T103" i="6"/>
  <c r="S103" i="6"/>
  <c r="O104" i="6"/>
  <c r="I103" i="6" l="1"/>
  <c r="Q103" i="6" s="1"/>
  <c r="J103" i="6"/>
  <c r="F104" i="6" l="1"/>
  <c r="R103" i="6"/>
  <c r="M104" i="6"/>
  <c r="U104" i="6" l="1"/>
  <c r="S104" i="6"/>
  <c r="T104" i="6"/>
  <c r="N104" i="6"/>
  <c r="K104" i="6"/>
  <c r="L104" i="6" s="1"/>
  <c r="I104" i="6" s="1"/>
  <c r="Q104" i="6" s="1"/>
  <c r="O105" i="6"/>
  <c r="H104" i="6" l="1"/>
  <c r="P104" i="6" s="1"/>
  <c r="J104" i="6"/>
  <c r="F105" i="6" l="1"/>
  <c r="S105" i="6" s="1"/>
  <c r="R104" i="6"/>
  <c r="M105" i="6"/>
  <c r="N105" i="6" s="1"/>
  <c r="T105" i="6" l="1"/>
  <c r="U105" i="6"/>
  <c r="K105" i="6"/>
  <c r="L105" i="6" s="1"/>
  <c r="J105" i="6" s="1"/>
  <c r="R105" i="6" s="1"/>
  <c r="O106" i="6"/>
  <c r="H105" i="6" l="1"/>
  <c r="P105" i="6" s="1"/>
  <c r="I105" i="6"/>
  <c r="Q105" i="6" s="1"/>
  <c r="M106" i="6" l="1"/>
  <c r="K106" i="6" s="1"/>
  <c r="L106" i="6" s="1"/>
  <c r="F106" i="6"/>
  <c r="S106" i="6" s="1"/>
  <c r="N106" i="6" l="1"/>
  <c r="T106" i="6"/>
  <c r="U106" i="6"/>
  <c r="H106" i="6"/>
  <c r="P106" i="6" s="1"/>
  <c r="J106" i="6"/>
  <c r="I106" i="6"/>
  <c r="O107" i="6"/>
  <c r="R106" i="6" l="1"/>
  <c r="M107" i="6"/>
  <c r="Q106" i="6"/>
  <c r="F107" i="6"/>
  <c r="N107" i="6" l="1"/>
  <c r="K107" i="6"/>
  <c r="L107" i="6" s="1"/>
  <c r="I107" i="6" s="1"/>
  <c r="U107" i="6"/>
  <c r="S107" i="6"/>
  <c r="T107" i="6"/>
  <c r="H107" i="6" l="1"/>
  <c r="J107" i="6"/>
  <c r="R107" i="6" s="1"/>
  <c r="O108" i="6"/>
  <c r="Q107" i="6"/>
  <c r="F108" i="6" l="1"/>
  <c r="P107" i="6"/>
  <c r="M108" i="6"/>
  <c r="U108" i="6" l="1"/>
  <c r="S108" i="6"/>
  <c r="T108" i="6"/>
  <c r="K108" i="6"/>
  <c r="L108" i="6" s="1"/>
  <c r="N108" i="6"/>
  <c r="J108" i="6" l="1"/>
  <c r="R108" i="6" s="1"/>
  <c r="O109" i="6"/>
  <c r="H108" i="6"/>
  <c r="I108" i="6"/>
  <c r="M109" i="6" l="1"/>
  <c r="Q108" i="6"/>
  <c r="P108" i="6"/>
  <c r="F109" i="6"/>
  <c r="N109" i="6" l="1"/>
  <c r="K109" i="6"/>
  <c r="L109" i="6" s="1"/>
  <c r="U109" i="6"/>
  <c r="S109" i="6"/>
  <c r="T109" i="6"/>
  <c r="H109" i="6" l="1"/>
  <c r="P109" i="6" s="1"/>
  <c r="O110" i="6"/>
  <c r="I109" i="6"/>
  <c r="Q109" i="6" s="1"/>
  <c r="J109" i="6"/>
  <c r="M110" i="6" l="1"/>
  <c r="R109" i="6"/>
  <c r="F110" i="6"/>
  <c r="K110" i="6" l="1"/>
  <c r="L110" i="6" s="1"/>
  <c r="J110" i="6" s="1"/>
  <c r="R110" i="6" s="1"/>
  <c r="N110" i="6"/>
  <c r="U110" i="6"/>
  <c r="S110" i="6"/>
  <c r="T110" i="6"/>
  <c r="O111" i="6"/>
  <c r="I110" i="6" l="1"/>
  <c r="H110" i="6"/>
  <c r="Q110" i="6" l="1"/>
  <c r="M111" i="6"/>
  <c r="P110" i="6"/>
  <c r="F111" i="6"/>
  <c r="N111" i="6" l="1"/>
  <c r="K111" i="6"/>
  <c r="L111" i="6" s="1"/>
  <c r="I111" i="6" s="1"/>
  <c r="U111" i="6"/>
  <c r="S111" i="6"/>
  <c r="T111" i="6"/>
  <c r="O112" i="6" l="1"/>
  <c r="H111" i="6"/>
  <c r="J111" i="6"/>
  <c r="Q111" i="6"/>
  <c r="R111" i="6" l="1"/>
  <c r="F112" i="6"/>
  <c r="M112" i="6"/>
  <c r="P111" i="6"/>
  <c r="U112" i="6" l="1"/>
  <c r="S112" i="6"/>
  <c r="T112" i="6"/>
  <c r="N112" i="6"/>
  <c r="K112" i="6"/>
  <c r="L112" i="6" s="1"/>
  <c r="H112" i="6" l="1"/>
  <c r="P112" i="6" s="1"/>
  <c r="O113" i="6"/>
  <c r="J112" i="6"/>
  <c r="R112" i="6" s="1"/>
  <c r="I112" i="6"/>
  <c r="Q112" i="6" l="1"/>
  <c r="F113" i="6"/>
  <c r="M113" i="6"/>
  <c r="N113" i="6" l="1"/>
  <c r="K113" i="6"/>
  <c r="L113" i="6" s="1"/>
  <c r="I113" i="6" s="1"/>
  <c r="U113" i="6"/>
  <c r="S113" i="6"/>
  <c r="T113" i="6"/>
  <c r="O114" i="6"/>
  <c r="J113" i="6" l="1"/>
  <c r="H113" i="6"/>
  <c r="P113" i="6" s="1"/>
  <c r="Q113" i="6"/>
  <c r="R113" i="6" l="1"/>
  <c r="M114" i="6"/>
  <c r="F114" i="6"/>
  <c r="K114" i="6" l="1"/>
  <c r="L114" i="6" s="1"/>
  <c r="I114" i="6" s="1"/>
  <c r="N114" i="6"/>
  <c r="U114" i="6"/>
  <c r="S114" i="6"/>
  <c r="T114" i="6"/>
  <c r="O115" i="6" l="1"/>
  <c r="J114" i="6"/>
  <c r="R114" i="6" s="1"/>
  <c r="H114" i="6"/>
  <c r="Q114" i="6"/>
  <c r="P114" i="6" l="1"/>
  <c r="M115" i="6"/>
  <c r="F115" i="6"/>
  <c r="K115" i="6" l="1"/>
  <c r="L115" i="6" s="1"/>
  <c r="N115" i="6"/>
  <c r="U115" i="6"/>
  <c r="S115" i="6"/>
  <c r="T115" i="6"/>
  <c r="J115" i="6" l="1"/>
  <c r="R115" i="6" s="1"/>
  <c r="O116" i="6"/>
  <c r="I115" i="6"/>
  <c r="Q115" i="6" s="1"/>
  <c r="H115" i="6"/>
  <c r="P115" i="6" s="1"/>
  <c r="F116" i="6" l="1"/>
  <c r="U116" i="6" s="1"/>
  <c r="M116" i="6"/>
  <c r="T116" i="6" l="1"/>
  <c r="S116" i="6"/>
  <c r="K116" i="6"/>
  <c r="L116" i="6" s="1"/>
  <c r="I116" i="6" s="1"/>
  <c r="Q116" i="6" s="1"/>
  <c r="N116" i="6"/>
  <c r="O117" i="6"/>
  <c r="J116" i="6" l="1"/>
  <c r="R116" i="6" s="1"/>
  <c r="H116" i="6"/>
  <c r="F117" i="6" l="1"/>
  <c r="U117" i="6" s="1"/>
  <c r="P116" i="6"/>
  <c r="M117" i="6"/>
  <c r="K117" i="6" s="1"/>
  <c r="L117" i="6" s="1"/>
  <c r="T117" i="6" l="1"/>
  <c r="S117" i="6"/>
  <c r="N117" i="6"/>
  <c r="H117" i="6"/>
  <c r="P117" i="6" s="1"/>
  <c r="O118" i="6"/>
  <c r="I117" i="6"/>
  <c r="J117" i="6"/>
  <c r="Q117" i="6" l="1"/>
  <c r="F118" i="6"/>
  <c r="U118" i="6" s="1"/>
  <c r="R117" i="6"/>
  <c r="M118" i="6"/>
  <c r="S118" i="6" l="1"/>
  <c r="T118" i="6"/>
  <c r="N118" i="6"/>
  <c r="K118" i="6"/>
  <c r="L118" i="6" s="1"/>
  <c r="I118" i="6" l="1"/>
  <c r="Q118" i="6" s="1"/>
  <c r="O119" i="6"/>
  <c r="H118" i="6"/>
  <c r="J118" i="6"/>
  <c r="R118" i="6" s="1"/>
  <c r="P118" i="6" l="1"/>
  <c r="M119" i="6"/>
  <c r="F119" i="6"/>
  <c r="U119" i="6" s="1"/>
  <c r="S119" i="6" l="1"/>
  <c r="T119" i="6"/>
  <c r="K119" i="6"/>
  <c r="L119" i="6" s="1"/>
  <c r="N119" i="6"/>
  <c r="J119" i="6" l="1"/>
  <c r="R119" i="6" s="1"/>
  <c r="O120" i="6"/>
  <c r="I119" i="6"/>
  <c r="Q119" i="6" s="1"/>
  <c r="H119" i="6"/>
  <c r="P119" i="6" l="1"/>
  <c r="F120" i="6"/>
  <c r="U120" i="6" s="1"/>
  <c r="M120" i="6"/>
  <c r="S120" i="6" l="1"/>
  <c r="T120" i="6"/>
  <c r="K120" i="6"/>
  <c r="L120" i="6" s="1"/>
  <c r="N120" i="6"/>
  <c r="I120" i="6" l="1"/>
  <c r="Q120" i="6" s="1"/>
  <c r="O121" i="6"/>
  <c r="H120" i="6"/>
  <c r="P120" i="6" s="1"/>
  <c r="J120" i="6"/>
  <c r="R120" i="6" l="1"/>
  <c r="M121" i="6"/>
  <c r="F121" i="6"/>
  <c r="U121" i="6" s="1"/>
  <c r="S121" i="6" l="1"/>
  <c r="T121" i="6"/>
  <c r="K121" i="6"/>
  <c r="L121" i="6" s="1"/>
  <c r="N121" i="6"/>
  <c r="I121" i="6" l="1"/>
  <c r="Q121" i="6" s="1"/>
  <c r="O122" i="6"/>
  <c r="H121" i="6"/>
  <c r="J121" i="6"/>
  <c r="R121" i="6" s="1"/>
  <c r="M122" i="6" l="1"/>
  <c r="P121" i="6"/>
  <c r="F122" i="6"/>
  <c r="U122" i="6" s="1"/>
  <c r="S122" i="6" l="1"/>
  <c r="T122" i="6"/>
  <c r="K122" i="6"/>
  <c r="L122" i="6" s="1"/>
  <c r="N122" i="6"/>
  <c r="I122" i="6" l="1"/>
  <c r="Q122" i="6" s="1"/>
  <c r="O123" i="6"/>
  <c r="J122" i="6"/>
  <c r="R122" i="6" s="1"/>
  <c r="H122" i="6"/>
  <c r="P122" i="6" l="1"/>
  <c r="F123" i="6"/>
  <c r="U123" i="6" s="1"/>
  <c r="M123" i="6"/>
  <c r="S123" i="6" l="1"/>
  <c r="T123" i="6"/>
  <c r="N123" i="6"/>
  <c r="K123" i="6"/>
  <c r="L123" i="6" s="1"/>
  <c r="H123" i="6" s="1"/>
  <c r="J123" i="6" l="1"/>
  <c r="I123" i="6"/>
  <c r="Q123" i="6" s="1"/>
  <c r="O124" i="6"/>
  <c r="P123" i="6"/>
  <c r="R123" i="6" l="1"/>
  <c r="F124" i="6"/>
  <c r="U124" i="6" s="1"/>
  <c r="M124" i="6"/>
  <c r="S124" i="6" l="1"/>
  <c r="T124" i="6"/>
  <c r="N124" i="6"/>
  <c r="K124" i="6"/>
  <c r="L124" i="6" s="1"/>
  <c r="H124" i="6" l="1"/>
  <c r="P124" i="6" s="1"/>
  <c r="J124" i="6"/>
  <c r="R124" i="6" s="1"/>
  <c r="O125" i="6"/>
  <c r="I124" i="6"/>
  <c r="Q124" i="6" l="1"/>
  <c r="F125" i="6"/>
  <c r="U125" i="6" s="1"/>
  <c r="M125" i="6"/>
  <c r="S125" i="6" l="1"/>
  <c r="T125" i="6"/>
  <c r="K125" i="6"/>
  <c r="L125" i="6" s="1"/>
  <c r="N125" i="6"/>
  <c r="I125" i="6" l="1"/>
  <c r="Q125" i="6" s="1"/>
  <c r="O126" i="6"/>
  <c r="J125" i="6"/>
  <c r="R125" i="6" s="1"/>
  <c r="H125" i="6"/>
  <c r="P125" i="6" l="1"/>
  <c r="F126" i="6"/>
  <c r="U126" i="6" s="1"/>
  <c r="M126" i="6"/>
  <c r="S126" i="6" l="1"/>
  <c r="T126" i="6"/>
  <c r="N126" i="6"/>
  <c r="K126" i="6"/>
  <c r="L126" i="6" s="1"/>
  <c r="H126" i="6" l="1"/>
  <c r="P126" i="6" s="1"/>
  <c r="I126" i="6"/>
  <c r="Q126" i="6" s="1"/>
  <c r="O127" i="6"/>
  <c r="J126" i="6"/>
  <c r="R126" i="6" l="1"/>
  <c r="F127" i="6"/>
  <c r="U127" i="6" s="1"/>
  <c r="M127" i="6"/>
  <c r="S127" i="6" l="1"/>
  <c r="T127" i="6"/>
  <c r="N127" i="6"/>
  <c r="K127" i="6"/>
  <c r="L127" i="6" s="1"/>
  <c r="J127" i="6" l="1"/>
  <c r="R127" i="6" s="1"/>
  <c r="I127" i="6"/>
  <c r="Q127" i="6" s="1"/>
  <c r="O128" i="6"/>
  <c r="H127" i="6"/>
  <c r="M128" i="6" l="1"/>
  <c r="F128" i="6"/>
  <c r="U128" i="6" s="1"/>
  <c r="P127" i="6"/>
  <c r="S128" i="6" l="1"/>
  <c r="T128" i="6"/>
  <c r="K128" i="6"/>
  <c r="L128" i="6" s="1"/>
  <c r="I128" i="6" s="1"/>
  <c r="N128" i="6"/>
  <c r="O129" i="6"/>
  <c r="H128" i="6" l="1"/>
  <c r="P128" i="6" s="1"/>
  <c r="J128" i="6"/>
  <c r="Q128" i="6"/>
  <c r="F129" i="6" l="1"/>
  <c r="R128" i="6"/>
  <c r="M129" i="6"/>
  <c r="U129" i="6" l="1"/>
  <c r="S129" i="6"/>
  <c r="T129" i="6"/>
  <c r="K129" i="6"/>
  <c r="L129" i="6" s="1"/>
  <c r="N129" i="6"/>
  <c r="J129" i="6" l="1"/>
  <c r="R129" i="6" s="1"/>
  <c r="I129" i="6"/>
  <c r="Q129" i="6" s="1"/>
  <c r="O130" i="6"/>
  <c r="H129" i="6"/>
  <c r="P129" i="6" l="1"/>
  <c r="M130" i="6"/>
  <c r="F130" i="6"/>
  <c r="K130" i="6" l="1"/>
  <c r="L130" i="6" s="1"/>
  <c r="N130" i="6"/>
  <c r="U130" i="6"/>
  <c r="S130" i="6"/>
  <c r="T130" i="6"/>
  <c r="H130" i="6" l="1"/>
  <c r="P130" i="6" s="1"/>
  <c r="I130" i="6"/>
  <c r="Q130" i="6" s="1"/>
  <c r="O131" i="6"/>
  <c r="J130" i="6"/>
  <c r="R130" i="6" l="1"/>
  <c r="M131" i="6"/>
  <c r="F131" i="6"/>
  <c r="N131" i="6" l="1"/>
  <c r="K131" i="6"/>
  <c r="L131" i="6" s="1"/>
  <c r="U131" i="6"/>
  <c r="S131" i="6"/>
  <c r="T131" i="6"/>
  <c r="J131" i="6" l="1"/>
  <c r="R131" i="6" s="1"/>
  <c r="I131" i="6"/>
  <c r="Q131" i="6" s="1"/>
  <c r="O132" i="6"/>
  <c r="H131" i="6"/>
  <c r="M132" i="6" l="1"/>
  <c r="P131" i="6"/>
  <c r="F132" i="6"/>
  <c r="N132" i="6" l="1"/>
  <c r="K132" i="6"/>
  <c r="L132" i="6" s="1"/>
  <c r="S132" i="6"/>
  <c r="T132" i="6"/>
  <c r="U132" i="6"/>
  <c r="I132" i="6" l="1"/>
  <c r="Q132" i="6" s="1"/>
  <c r="H132" i="6"/>
  <c r="P132" i="6" s="1"/>
  <c r="O133" i="6"/>
  <c r="J132" i="6"/>
  <c r="R132" i="6" l="1"/>
  <c r="F133" i="6"/>
  <c r="M133" i="6"/>
  <c r="N133" i="6" l="1"/>
  <c r="K133" i="6"/>
  <c r="L133" i="6" s="1"/>
  <c r="U133" i="6"/>
  <c r="S133" i="6"/>
  <c r="T133" i="6"/>
  <c r="J133" i="6" l="1"/>
  <c r="R133" i="6" s="1"/>
  <c r="I133" i="6"/>
  <c r="Q133" i="6" s="1"/>
  <c r="O134" i="6"/>
  <c r="H133" i="6"/>
  <c r="P133" i="6" l="1"/>
  <c r="F134" i="6"/>
  <c r="M134" i="6"/>
  <c r="N134" i="6" l="1"/>
  <c r="K134" i="6"/>
  <c r="L134" i="6" s="1"/>
  <c r="U134" i="6"/>
  <c r="S134" i="6"/>
  <c r="T134" i="6"/>
  <c r="H134" i="6" l="1"/>
  <c r="P134" i="6" s="1"/>
  <c r="I134" i="6"/>
  <c r="Q134" i="6" s="1"/>
  <c r="O135" i="6"/>
  <c r="J134" i="6"/>
  <c r="R134" i="6" l="1"/>
  <c r="F135" i="6"/>
  <c r="M135" i="6"/>
  <c r="K135" i="6" l="1"/>
  <c r="L135" i="6" s="1"/>
  <c r="N135" i="6"/>
  <c r="U135" i="6"/>
  <c r="S135" i="6"/>
  <c r="T135" i="6"/>
  <c r="I135" i="6" l="1"/>
  <c r="Q135" i="6" s="1"/>
  <c r="J135" i="6"/>
  <c r="R135" i="6" s="1"/>
  <c r="O136" i="6"/>
  <c r="H135" i="6"/>
  <c r="P135" i="6" l="1"/>
  <c r="F136" i="6"/>
  <c r="M136" i="6"/>
  <c r="U136" i="6" l="1"/>
  <c r="S136" i="6"/>
  <c r="T136" i="6"/>
  <c r="N136" i="6"/>
  <c r="K136" i="6"/>
  <c r="L136" i="6" s="1"/>
  <c r="I136" i="6" s="1"/>
  <c r="Q136" i="6" s="1"/>
  <c r="O137" i="6" l="1"/>
  <c r="H136" i="6"/>
  <c r="J136" i="6"/>
  <c r="R136" i="6" s="1"/>
  <c r="P136" i="6" l="1"/>
  <c r="F137" i="6"/>
  <c r="M137" i="6"/>
  <c r="S137" i="6" l="1"/>
  <c r="T137" i="6"/>
  <c r="U137" i="6"/>
  <c r="N137" i="6"/>
  <c r="K137" i="6"/>
  <c r="L137" i="6" s="1"/>
  <c r="H137" i="6" l="1"/>
  <c r="P137" i="6" s="1"/>
  <c r="J137" i="6"/>
  <c r="R137" i="6" s="1"/>
  <c r="O138" i="6"/>
  <c r="I137" i="6"/>
  <c r="F138" i="6" l="1"/>
  <c r="Q137" i="6"/>
  <c r="M138" i="6"/>
  <c r="T138" i="6" l="1"/>
  <c r="S138" i="6"/>
  <c r="U138" i="6"/>
  <c r="K138" i="6"/>
  <c r="L138" i="6" s="1"/>
  <c r="N138" i="6"/>
  <c r="J138" i="6" l="1"/>
  <c r="R138" i="6" s="1"/>
  <c r="I138" i="6"/>
  <c r="Q138" i="6" s="1"/>
  <c r="O139" i="6"/>
  <c r="H138" i="6"/>
  <c r="F139" i="6" l="1"/>
  <c r="M139" i="6"/>
  <c r="P138" i="6"/>
  <c r="K139" i="6" l="1"/>
  <c r="L139" i="6" s="1"/>
  <c r="N139" i="6"/>
  <c r="T139" i="6"/>
  <c r="S139" i="6"/>
  <c r="U139" i="6"/>
  <c r="J139" i="6" l="1"/>
  <c r="R139" i="6" s="1"/>
  <c r="I139" i="6"/>
  <c r="Q139" i="6" s="1"/>
  <c r="O140" i="6"/>
  <c r="H139" i="6"/>
  <c r="P139" i="6" l="1"/>
  <c r="M140" i="6"/>
  <c r="F140" i="6"/>
  <c r="K140" i="6" l="1"/>
  <c r="L140" i="6" s="1"/>
  <c r="N140" i="6"/>
  <c r="U140" i="6"/>
  <c r="S140" i="6"/>
  <c r="T140" i="6"/>
  <c r="H140" i="6" l="1"/>
  <c r="J140" i="6"/>
  <c r="R140" i="6" s="1"/>
  <c r="O141" i="6"/>
  <c r="I140" i="6"/>
  <c r="P140" i="6" l="1"/>
  <c r="M141" i="6"/>
  <c r="Q140" i="6"/>
  <c r="F141" i="6"/>
  <c r="N141" i="6" l="1"/>
  <c r="K141" i="6"/>
  <c r="L141" i="6" s="1"/>
  <c r="J141" i="6" s="1"/>
  <c r="R141" i="6" s="1"/>
  <c r="U141" i="6"/>
  <c r="S141" i="6"/>
  <c r="T141" i="6"/>
  <c r="O142" i="6"/>
  <c r="I141" i="6" l="1"/>
  <c r="Q141" i="6" s="1"/>
  <c r="H141" i="6"/>
  <c r="P141" i="6" l="1"/>
  <c r="M142" i="6"/>
  <c r="F142" i="6"/>
  <c r="N142" i="6" l="1"/>
  <c r="K142" i="6"/>
  <c r="L142" i="6" s="1"/>
  <c r="H142" i="6" s="1"/>
  <c r="P142" i="6" s="1"/>
  <c r="U142" i="6"/>
  <c r="S142" i="6"/>
  <c r="T142" i="6"/>
  <c r="O143" i="6"/>
  <c r="I142" i="6" l="1"/>
  <c r="Q142" i="6" s="1"/>
  <c r="J142" i="6"/>
  <c r="F143" i="6" l="1"/>
  <c r="R142" i="6"/>
  <c r="M143" i="6"/>
  <c r="T143" i="6" l="1"/>
  <c r="S143" i="6"/>
  <c r="U143" i="6"/>
  <c r="K143" i="6"/>
  <c r="L143" i="6" s="1"/>
  <c r="N143" i="6"/>
  <c r="H143" i="6" l="1"/>
  <c r="P143" i="6" s="1"/>
  <c r="O144" i="6"/>
  <c r="I143" i="6"/>
  <c r="J143" i="6"/>
  <c r="R143" i="6" s="1"/>
  <c r="Q143" i="6" l="1"/>
  <c r="F144" i="6"/>
  <c r="M144" i="6"/>
  <c r="U144" i="6" l="1"/>
  <c r="S144" i="6"/>
  <c r="T144" i="6"/>
  <c r="N144" i="6"/>
  <c r="K144" i="6"/>
  <c r="L144" i="6" s="1"/>
  <c r="I144" i="6" l="1"/>
  <c r="Q144" i="6" s="1"/>
  <c r="J144" i="6"/>
  <c r="R144" i="6" s="1"/>
  <c r="O145" i="6"/>
  <c r="H144" i="6"/>
  <c r="P144" i="6" l="1"/>
  <c r="F145" i="6"/>
  <c r="M145" i="6"/>
  <c r="T145" i="6" l="1"/>
  <c r="U145" i="6"/>
  <c r="S145" i="6"/>
  <c r="N145" i="6"/>
  <c r="K145" i="6"/>
  <c r="L145" i="6" s="1"/>
  <c r="J145" i="6" l="1"/>
  <c r="R145" i="6" s="1"/>
  <c r="I145" i="6"/>
  <c r="Q145" i="6" s="1"/>
  <c r="O146" i="6"/>
  <c r="H145" i="6"/>
  <c r="P145" i="6" l="1"/>
  <c r="F146" i="6"/>
  <c r="M146" i="6"/>
  <c r="U146" i="6" l="1"/>
  <c r="T146" i="6"/>
  <c r="S146" i="6"/>
  <c r="K146" i="6"/>
  <c r="L146" i="6" s="1"/>
  <c r="N146" i="6"/>
  <c r="J146" i="6" l="1"/>
  <c r="R146" i="6" s="1"/>
  <c r="H146" i="6"/>
  <c r="P146" i="6" s="1"/>
  <c r="O147" i="6"/>
  <c r="I146" i="6"/>
  <c r="Q146" i="6" l="1"/>
  <c r="F147" i="6"/>
  <c r="M147" i="6"/>
  <c r="S147" i="6" l="1"/>
  <c r="T147" i="6"/>
  <c r="U147" i="6"/>
  <c r="K147" i="6"/>
  <c r="L147" i="6" s="1"/>
  <c r="H147" i="6" s="1"/>
  <c r="P147" i="6" s="1"/>
  <c r="N147" i="6"/>
  <c r="O148" i="6"/>
  <c r="I147" i="6" l="1"/>
  <c r="Q147" i="6" s="1"/>
  <c r="J147" i="6"/>
  <c r="R147" i="6" s="1"/>
  <c r="F148" i="6" l="1"/>
  <c r="M148" i="6"/>
  <c r="S148" i="6" l="1"/>
  <c r="U148" i="6"/>
  <c r="T148" i="6"/>
  <c r="K148" i="6"/>
  <c r="L148" i="6" s="1"/>
  <c r="N148" i="6"/>
  <c r="H148" i="6" l="1"/>
  <c r="P148" i="6" s="1"/>
  <c r="J148" i="6"/>
  <c r="R148" i="6" s="1"/>
  <c r="O149" i="6"/>
  <c r="I148" i="6"/>
  <c r="F149" i="6" l="1"/>
  <c r="Q148" i="6"/>
  <c r="M149" i="6"/>
  <c r="U149" i="6" l="1"/>
  <c r="T149" i="6"/>
  <c r="S149" i="6"/>
  <c r="N149" i="6"/>
  <c r="K149" i="6"/>
  <c r="L149" i="6" s="1"/>
  <c r="I149" i="6" l="1"/>
  <c r="Q149" i="6" s="1"/>
  <c r="J149" i="6"/>
  <c r="R149" i="6" s="1"/>
  <c r="O150" i="6"/>
  <c r="H149" i="6"/>
  <c r="F150" i="6" l="1"/>
  <c r="P149" i="6"/>
  <c r="M150" i="6"/>
  <c r="S150" i="6" l="1"/>
  <c r="T150" i="6"/>
  <c r="U150" i="6"/>
  <c r="N150" i="6"/>
  <c r="K150" i="6"/>
  <c r="L150" i="6" s="1"/>
  <c r="H150" i="6" l="1"/>
  <c r="P150" i="6" s="1"/>
  <c r="I150" i="6"/>
  <c r="Q150" i="6" s="1"/>
  <c r="O151" i="6"/>
  <c r="J150" i="6"/>
  <c r="R150" i="6" l="1"/>
  <c r="F151" i="6"/>
  <c r="M151" i="6"/>
  <c r="U151" i="6" l="1"/>
  <c r="S151" i="6"/>
  <c r="T151" i="6"/>
  <c r="K151" i="6"/>
  <c r="L151" i="6" s="1"/>
  <c r="H151" i="6" s="1"/>
  <c r="N151" i="6"/>
  <c r="O152" i="6"/>
  <c r="J151" i="6" l="1"/>
  <c r="R151" i="6" s="1"/>
  <c r="I151" i="6"/>
  <c r="P151" i="6"/>
  <c r="M152" i="6" l="1"/>
  <c r="Q151" i="6"/>
  <c r="F152" i="6"/>
  <c r="K152" i="6" l="1"/>
  <c r="L152" i="6" s="1"/>
  <c r="H152" i="6" s="1"/>
  <c r="N152" i="6"/>
  <c r="T152" i="6"/>
  <c r="S152" i="6"/>
  <c r="U152" i="6"/>
  <c r="O153" i="6"/>
  <c r="I152" i="6" l="1"/>
  <c r="J152" i="6"/>
  <c r="R152" i="6" s="1"/>
  <c r="P152" i="6"/>
  <c r="F153" i="6" l="1"/>
  <c r="Q152" i="6"/>
  <c r="M153" i="6"/>
  <c r="T153" i="6" l="1"/>
  <c r="U153" i="6"/>
  <c r="S153" i="6"/>
  <c r="N153" i="6"/>
  <c r="K153" i="6"/>
  <c r="L153" i="6" s="1"/>
  <c r="I153" i="6" s="1"/>
  <c r="O154" i="6"/>
  <c r="H153" i="6" l="1"/>
  <c r="P153" i="6" s="1"/>
  <c r="J153" i="6"/>
  <c r="R153" i="6" s="1"/>
  <c r="Q153" i="6"/>
  <c r="F154" i="6" l="1"/>
  <c r="S154" i="6" s="1"/>
  <c r="M154" i="6"/>
  <c r="N154" i="6" s="1"/>
  <c r="T154" i="6" l="1"/>
  <c r="U154" i="6"/>
  <c r="K154" i="6"/>
  <c r="L154" i="6" s="1"/>
  <c r="I154" i="6" l="1"/>
  <c r="Q154" i="6" s="1"/>
  <c r="O155" i="6"/>
  <c r="H154" i="6"/>
  <c r="P154" i="6" s="1"/>
  <c r="J154" i="6"/>
  <c r="R154" i="6" s="1"/>
  <c r="F155" i="6" l="1"/>
  <c r="T155" i="6" s="1"/>
  <c r="M155" i="6"/>
  <c r="N155" i="6" s="1"/>
  <c r="U155" i="6" l="1"/>
  <c r="S155" i="6"/>
  <c r="K155" i="6"/>
  <c r="L155" i="6" s="1"/>
  <c r="J155" i="6" s="1"/>
  <c r="R155" i="6" s="1"/>
  <c r="O156" i="6"/>
  <c r="I155" i="6" l="1"/>
  <c r="Q155" i="6" s="1"/>
  <c r="H155" i="6"/>
  <c r="P155" i="6" s="1"/>
  <c r="F156" i="6" l="1"/>
  <c r="T156" i="6" s="1"/>
  <c r="M156" i="6"/>
  <c r="N156" i="6" s="1"/>
  <c r="S156" i="6" l="1"/>
  <c r="U156" i="6"/>
  <c r="K156" i="6"/>
  <c r="L156" i="6" s="1"/>
  <c r="J156" i="6" s="1"/>
  <c r="R156" i="6" s="1"/>
  <c r="I156" i="6" l="1"/>
  <c r="Q156" i="6" s="1"/>
  <c r="H156" i="6"/>
  <c r="P156" i="6" s="1"/>
  <c r="O157" i="6"/>
  <c r="F157" i="6" l="1"/>
  <c r="U157" i="6" s="1"/>
  <c r="M157" i="6"/>
  <c r="N157" i="6" s="1"/>
  <c r="S157" i="6" l="1"/>
  <c r="T157" i="6"/>
  <c r="K157" i="6"/>
  <c r="L157" i="6" s="1"/>
  <c r="H157" i="6" s="1"/>
  <c r="P157" i="6" s="1"/>
  <c r="J157" i="6" l="1"/>
  <c r="R157" i="6" s="1"/>
  <c r="I157" i="6"/>
  <c r="Q157" i="6" s="1"/>
  <c r="O158" i="6"/>
  <c r="M158" i="6" l="1"/>
  <c r="N158" i="6" s="1"/>
  <c r="F158" i="6"/>
  <c r="S158" i="6" s="1"/>
  <c r="K158" i="6" l="1"/>
  <c r="L158" i="6" s="1"/>
  <c r="J158" i="6" s="1"/>
  <c r="T158" i="6"/>
  <c r="U158" i="6"/>
  <c r="O159" i="6" l="1"/>
  <c r="I158" i="6"/>
  <c r="Q158" i="6" s="1"/>
  <c r="H158" i="6"/>
  <c r="P158" i="6" s="1"/>
  <c r="R158" i="6"/>
  <c r="F159" i="6" l="1"/>
  <c r="S159" i="6" s="1"/>
  <c r="M159" i="6"/>
  <c r="N159" i="6" s="1"/>
  <c r="T159" i="6" l="1"/>
  <c r="U159" i="6"/>
  <c r="K159" i="6"/>
  <c r="L159" i="6" s="1"/>
  <c r="I159" i="6" s="1"/>
  <c r="H159" i="6" l="1"/>
  <c r="P159" i="6" s="1"/>
  <c r="J159" i="6"/>
  <c r="R159" i="6" s="1"/>
  <c r="O160" i="6"/>
  <c r="Q159" i="6"/>
  <c r="M160" i="6" l="1"/>
  <c r="K160" i="6" s="1"/>
  <c r="L160" i="6" s="1"/>
  <c r="F160" i="6"/>
  <c r="S160" i="6" s="1"/>
  <c r="N160" i="6" l="1"/>
  <c r="U160" i="6"/>
  <c r="T160" i="6"/>
  <c r="I160" i="6"/>
  <c r="Q160" i="6" s="1"/>
  <c r="J160" i="6"/>
  <c r="R160" i="6" s="1"/>
  <c r="O161" i="6"/>
  <c r="D4" i="9" s="1"/>
  <c r="H160" i="6"/>
  <c r="P160" i="6" l="1"/>
  <c r="M161" i="6"/>
  <c r="F161" i="6"/>
  <c r="D3" i="9" l="1"/>
  <c r="D2" i="9"/>
  <c r="N161" i="6"/>
  <c r="N162" i="6" s="1"/>
  <c r="N163" i="6" s="1"/>
  <c r="M162" i="6"/>
  <c r="M164" i="6"/>
  <c r="K161" i="6"/>
  <c r="L161" i="6" s="1"/>
  <c r="I161" i="6" s="1"/>
  <c r="Q161" i="6" s="1"/>
  <c r="S161" i="6"/>
  <c r="U161" i="6"/>
  <c r="U162" i="6" s="1"/>
  <c r="T161" i="6"/>
  <c r="T162" i="6" s="1"/>
  <c r="S162" i="6" l="1"/>
  <c r="D5" i="9"/>
  <c r="J161" i="6"/>
  <c r="R161" i="6" s="1"/>
  <c r="M163" i="6"/>
  <c r="B4" i="8" s="1"/>
  <c r="H161" i="6"/>
  <c r="P161" i="6" s="1"/>
  <c r="U163" i="6"/>
  <c r="U165" i="6"/>
  <c r="T165" i="6"/>
  <c r="T163" i="6"/>
  <c r="S163" i="6" l="1"/>
  <c r="S165" i="6"/>
  <c r="N3" i="1" l="1"/>
  <c r="K3" i="1"/>
  <c r="L3" i="1" s="1"/>
  <c r="I3" i="1" s="1"/>
  <c r="Q3" i="1" s="1"/>
  <c r="H3" i="1" l="1"/>
  <c r="O4" i="1"/>
  <c r="F4" i="1" l="1"/>
  <c r="M4" i="1"/>
  <c r="N4" i="1" s="1"/>
  <c r="P3" i="1"/>
  <c r="K4" i="1" l="1"/>
  <c r="L4" i="1" s="1"/>
  <c r="O5" i="1" s="1"/>
  <c r="S4" i="1"/>
  <c r="U4" i="1"/>
  <c r="T4" i="1"/>
  <c r="I4" i="1"/>
  <c r="H4" i="1" l="1"/>
  <c r="P4" i="1" s="1"/>
  <c r="J4" i="1"/>
  <c r="Q4" i="1"/>
  <c r="R4" i="1" l="1"/>
  <c r="F5" i="1"/>
  <c r="M5" i="1"/>
  <c r="K5" i="1" l="1"/>
  <c r="L5" i="1" s="1"/>
  <c r="N5" i="1"/>
  <c r="U5" i="1"/>
  <c r="T5" i="1"/>
  <c r="S5" i="1"/>
  <c r="H5" i="1" l="1"/>
  <c r="J5" i="1"/>
  <c r="R5" i="1" s="1"/>
  <c r="O6" i="1"/>
  <c r="I5" i="1"/>
  <c r="P5" i="1"/>
  <c r="Q5" i="1" l="1"/>
  <c r="F6" i="1"/>
  <c r="M6" i="1"/>
  <c r="N6" i="1" l="1"/>
  <c r="K6" i="1"/>
  <c r="L6" i="1" s="1"/>
  <c r="S6" i="1"/>
  <c r="T6" i="1"/>
  <c r="U6" i="1"/>
  <c r="H6" i="1" l="1"/>
  <c r="P6" i="1" s="1"/>
  <c r="I6" i="1"/>
  <c r="Q6" i="1" s="1"/>
  <c r="O7" i="1"/>
  <c r="J6" i="1"/>
  <c r="F7" i="1" l="1"/>
  <c r="M7" i="1"/>
  <c r="R6" i="1"/>
  <c r="U7" i="1" l="1"/>
  <c r="T7" i="1"/>
  <c r="S7" i="1"/>
  <c r="N7" i="1"/>
  <c r="K7" i="1"/>
  <c r="L7" i="1" s="1"/>
  <c r="J7" i="1" l="1"/>
  <c r="R7" i="1" s="1"/>
  <c r="I7" i="1"/>
  <c r="Q7" i="1" s="1"/>
  <c r="H7" i="1"/>
  <c r="O8" i="1"/>
  <c r="F8" i="1" l="1"/>
  <c r="P7" i="1"/>
  <c r="M8" i="1"/>
  <c r="U8" i="1" l="1"/>
  <c r="T8" i="1"/>
  <c r="S8" i="1"/>
  <c r="K8" i="1"/>
  <c r="L8" i="1" s="1"/>
  <c r="N8" i="1"/>
  <c r="I8" i="1" l="1"/>
  <c r="Q8" i="1" s="1"/>
  <c r="H8" i="1"/>
  <c r="P8" i="1" s="1"/>
  <c r="J8" i="1"/>
  <c r="O9" i="1"/>
  <c r="R8" i="1" l="1"/>
  <c r="M9" i="1"/>
  <c r="F9" i="1"/>
  <c r="N9" i="1" l="1"/>
  <c r="K9" i="1"/>
  <c r="L9" i="1" s="1"/>
  <c r="U9" i="1"/>
  <c r="S9" i="1"/>
  <c r="T9" i="1"/>
  <c r="H9" i="1" l="1"/>
  <c r="P9" i="1" s="1"/>
  <c r="I9" i="1"/>
  <c r="O10" i="1"/>
  <c r="J9" i="1"/>
  <c r="Q9" i="1" l="1"/>
  <c r="F10" i="1"/>
  <c r="R9" i="1"/>
  <c r="M10" i="1"/>
  <c r="N10" i="1" l="1"/>
  <c r="K10" i="1"/>
  <c r="L10" i="1" s="1"/>
  <c r="I10" i="1" s="1"/>
  <c r="Q10" i="1" s="1"/>
  <c r="H10" i="1"/>
  <c r="S10" i="1"/>
  <c r="U10" i="1"/>
  <c r="T10" i="1"/>
  <c r="O11" i="1" l="1"/>
  <c r="J10" i="1"/>
  <c r="P10" i="1"/>
  <c r="R10" i="1" l="1"/>
  <c r="M11" i="1"/>
  <c r="N11" i="1" s="1"/>
  <c r="F11" i="1"/>
  <c r="K11" i="1" l="1"/>
  <c r="L11" i="1" s="1"/>
  <c r="O12" i="1" s="1"/>
  <c r="J11" i="1"/>
  <c r="R11" i="1" s="1"/>
  <c r="T11" i="1"/>
  <c r="S11" i="1"/>
  <c r="U11" i="1"/>
  <c r="H11" i="1"/>
  <c r="I11" i="1" l="1"/>
  <c r="P11" i="1"/>
  <c r="Q11" i="1" l="1"/>
  <c r="F12" i="1"/>
  <c r="M12" i="1"/>
  <c r="K12" i="1" s="1"/>
  <c r="L12" i="1" s="1"/>
  <c r="N12" i="1" l="1"/>
  <c r="U12" i="1"/>
  <c r="T12" i="1"/>
  <c r="S12" i="1"/>
  <c r="H12" i="1"/>
  <c r="P12" i="1" s="1"/>
  <c r="I12" i="1"/>
  <c r="Q12" i="1" s="1"/>
  <c r="O13" i="1"/>
  <c r="J12" i="1"/>
  <c r="M13" i="1" l="1"/>
  <c r="F13" i="1"/>
  <c r="R12" i="1"/>
  <c r="I13" i="1" l="1"/>
  <c r="Q13" i="1" s="1"/>
  <c r="K13" i="1"/>
  <c r="L13" i="1" s="1"/>
  <c r="J13" i="1" s="1"/>
  <c r="R13" i="1" s="1"/>
  <c r="N13" i="1"/>
  <c r="T13" i="1"/>
  <c r="U13" i="1"/>
  <c r="S13" i="1"/>
  <c r="O14" i="1" l="1"/>
  <c r="H13" i="1"/>
  <c r="F14" i="1" l="1"/>
  <c r="M14" i="1"/>
  <c r="P13" i="1"/>
  <c r="T14" i="1" l="1"/>
  <c r="U14" i="1"/>
  <c r="S14" i="1"/>
  <c r="K14" i="1"/>
  <c r="L14" i="1" s="1"/>
  <c r="H14" i="1" s="1"/>
  <c r="N14" i="1"/>
  <c r="J14" i="1" l="1"/>
  <c r="R14" i="1" s="1"/>
  <c r="I14" i="1"/>
  <c r="O15" i="1"/>
  <c r="P14" i="1"/>
  <c r="F15" i="1"/>
  <c r="M15" i="1" l="1"/>
  <c r="Q14" i="1"/>
  <c r="U15" i="1"/>
  <c r="S15" i="1"/>
  <c r="T15" i="1"/>
  <c r="N15" i="1" l="1"/>
  <c r="K15" i="1"/>
  <c r="L15" i="1" s="1"/>
  <c r="H15" i="1" l="1"/>
  <c r="P15" i="1" s="1"/>
  <c r="I15" i="1"/>
  <c r="Q15" i="1" s="1"/>
  <c r="J15" i="1"/>
  <c r="O16" i="1"/>
  <c r="F16" i="1" l="1"/>
  <c r="R15" i="1"/>
  <c r="M16" i="1"/>
  <c r="S16" i="1" l="1"/>
  <c r="U16" i="1"/>
  <c r="T16" i="1"/>
  <c r="N16" i="1"/>
  <c r="K16" i="1"/>
  <c r="L16" i="1" s="1"/>
  <c r="I16" i="1" s="1"/>
  <c r="Q16" i="1" s="1"/>
  <c r="J16" i="1" l="1"/>
  <c r="R16" i="1" s="1"/>
  <c r="O17" i="1"/>
  <c r="H16" i="1"/>
  <c r="M17" i="1" l="1"/>
  <c r="F17" i="1"/>
  <c r="P16" i="1"/>
  <c r="K17" i="1" l="1"/>
  <c r="L17" i="1" s="1"/>
  <c r="J17" i="1" s="1"/>
  <c r="R17" i="1" s="1"/>
  <c r="N17" i="1"/>
  <c r="H17" i="1"/>
  <c r="S17" i="1"/>
  <c r="U17" i="1"/>
  <c r="T17" i="1"/>
  <c r="O18" i="1" l="1"/>
  <c r="I17" i="1"/>
  <c r="M18" i="1"/>
  <c r="P17" i="1"/>
  <c r="F18" i="1" l="1"/>
  <c r="Q17" i="1"/>
  <c r="K18" i="1"/>
  <c r="L18" i="1" s="1"/>
  <c r="O19" i="1" s="1"/>
  <c r="N18" i="1"/>
  <c r="H18" i="1" l="1"/>
  <c r="I18" i="1"/>
  <c r="Q18" i="1" s="1"/>
  <c r="T18" i="1"/>
  <c r="U18" i="1"/>
  <c r="S18" i="1"/>
  <c r="J18" i="1"/>
  <c r="R18" i="1" s="1"/>
  <c r="F19" i="1" l="1"/>
  <c r="M19" i="1"/>
  <c r="P18" i="1"/>
  <c r="S19" i="1" l="1"/>
  <c r="U19" i="1"/>
  <c r="T19" i="1"/>
  <c r="N19" i="1"/>
  <c r="K19" i="1"/>
  <c r="L19" i="1" s="1"/>
  <c r="I19" i="1" s="1"/>
  <c r="Q19" i="1" s="1"/>
  <c r="J19" i="1" l="1"/>
  <c r="R19" i="1" s="1"/>
  <c r="O20" i="1"/>
  <c r="H19" i="1"/>
  <c r="M20" i="1" l="1"/>
  <c r="F20" i="1"/>
  <c r="P19" i="1"/>
  <c r="K20" i="1" l="1"/>
  <c r="L20" i="1" s="1"/>
  <c r="N20" i="1"/>
  <c r="J20" i="1"/>
  <c r="R20" i="1" s="1"/>
  <c r="I20" i="1"/>
  <c r="Q20" i="1" s="1"/>
  <c r="S20" i="1"/>
  <c r="U20" i="1"/>
  <c r="T20" i="1"/>
  <c r="O21" i="1" l="1"/>
  <c r="H20" i="1"/>
  <c r="M21" i="1" l="1"/>
  <c r="F21" i="1"/>
  <c r="P20" i="1"/>
  <c r="N21" i="1" l="1"/>
  <c r="K21" i="1"/>
  <c r="L21" i="1" s="1"/>
  <c r="H21" i="1"/>
  <c r="I21" i="1"/>
  <c r="Q21" i="1" s="1"/>
  <c r="S21" i="1"/>
  <c r="U21" i="1"/>
  <c r="T21" i="1"/>
  <c r="O22" i="1" l="1"/>
  <c r="J21" i="1"/>
  <c r="P21" i="1"/>
  <c r="R21" i="1" l="1"/>
  <c r="F22" i="1"/>
  <c r="M22" i="1"/>
  <c r="U22" i="1" l="1"/>
  <c r="T22" i="1"/>
  <c r="S22" i="1"/>
  <c r="N22" i="1"/>
  <c r="K22" i="1"/>
  <c r="L22" i="1" s="1"/>
  <c r="I22" i="1" s="1"/>
  <c r="Q22" i="1" s="1"/>
  <c r="J22" i="1" l="1"/>
  <c r="R22" i="1" s="1"/>
  <c r="O23" i="1"/>
  <c r="H22" i="1"/>
  <c r="P22" i="1" l="1"/>
  <c r="M23" i="1"/>
  <c r="F23" i="1"/>
  <c r="K23" i="1" l="1"/>
  <c r="L23" i="1" s="1"/>
  <c r="O24" i="1" s="1"/>
  <c r="N23" i="1"/>
  <c r="H23" i="1"/>
  <c r="I23" i="1"/>
  <c r="Q23" i="1" s="1"/>
  <c r="T23" i="1"/>
  <c r="S23" i="1"/>
  <c r="U23" i="1"/>
  <c r="J23" i="1" l="1"/>
  <c r="R23" i="1" s="1"/>
  <c r="M24" i="1"/>
  <c r="P23" i="1"/>
  <c r="F24" i="1"/>
  <c r="K24" i="1" l="1"/>
  <c r="L24" i="1" s="1"/>
  <c r="I24" i="1" s="1"/>
  <c r="Q24" i="1" s="1"/>
  <c r="N24" i="1"/>
  <c r="H24" i="1"/>
  <c r="P24" i="1" s="1"/>
  <c r="T24" i="1"/>
  <c r="S24" i="1"/>
  <c r="U24" i="1"/>
  <c r="O25" i="1" l="1"/>
  <c r="J24" i="1"/>
  <c r="R24" i="1" l="1"/>
  <c r="F25" i="1"/>
  <c r="M25" i="1"/>
  <c r="U25" i="1" l="1"/>
  <c r="S25" i="1"/>
  <c r="T25" i="1"/>
  <c r="N25" i="1"/>
  <c r="K25" i="1"/>
  <c r="L25" i="1" s="1"/>
  <c r="J25" i="1" s="1"/>
  <c r="R25" i="1" s="1"/>
  <c r="I25" i="1" l="1"/>
  <c r="Q25" i="1" s="1"/>
  <c r="O26" i="1"/>
  <c r="H25" i="1"/>
  <c r="F26" i="1" l="1"/>
  <c r="M26" i="1"/>
  <c r="P25" i="1"/>
  <c r="U26" i="1" l="1"/>
  <c r="S26" i="1"/>
  <c r="T26" i="1"/>
  <c r="N26" i="1"/>
  <c r="K26" i="1"/>
  <c r="L26" i="1" s="1"/>
  <c r="H26" i="1" s="1"/>
  <c r="I26" i="1" l="1"/>
  <c r="Q26" i="1" s="1"/>
  <c r="P26" i="1"/>
  <c r="O27" i="1"/>
  <c r="J26" i="1"/>
  <c r="R26" i="1" l="1"/>
  <c r="F27" i="1"/>
  <c r="M27" i="1"/>
  <c r="S27" i="1" l="1"/>
  <c r="U27" i="1"/>
  <c r="T27" i="1"/>
  <c r="N27" i="1"/>
  <c r="K27" i="1"/>
  <c r="L27" i="1" s="1"/>
  <c r="J27" i="1" s="1"/>
  <c r="R27" i="1" s="1"/>
  <c r="I27" i="1" l="1"/>
  <c r="Q27" i="1" s="1"/>
  <c r="O28" i="1"/>
  <c r="H27" i="1"/>
  <c r="P27" i="1" l="1"/>
  <c r="M28" i="1"/>
  <c r="F28" i="1"/>
  <c r="N28" i="1" l="1"/>
  <c r="K28" i="1"/>
  <c r="L28" i="1" s="1"/>
  <c r="O29" i="1" s="1"/>
  <c r="I28" i="1"/>
  <c r="Q28" i="1" s="1"/>
  <c r="J28" i="1"/>
  <c r="R28" i="1" s="1"/>
  <c r="T28" i="1"/>
  <c r="U28" i="1"/>
  <c r="H28" i="1"/>
  <c r="S28" i="1"/>
  <c r="P28" i="1" l="1"/>
  <c r="M29" i="1"/>
  <c r="F29" i="1"/>
  <c r="K29" i="1" l="1"/>
  <c r="L29" i="1" s="1"/>
  <c r="N29" i="1"/>
  <c r="I29" i="1"/>
  <c r="Q29" i="1" s="1"/>
  <c r="H29" i="1"/>
  <c r="T29" i="1"/>
  <c r="U29" i="1"/>
  <c r="S29" i="1"/>
  <c r="P29" i="1" l="1"/>
  <c r="O30" i="1"/>
  <c r="J29" i="1"/>
  <c r="R29" i="1" l="1"/>
  <c r="F30" i="1"/>
  <c r="M30" i="1"/>
  <c r="U30" i="1" l="1"/>
  <c r="S30" i="1"/>
  <c r="T30" i="1"/>
  <c r="K30" i="1"/>
  <c r="L30" i="1" s="1"/>
  <c r="J30" i="1" s="1"/>
  <c r="R30" i="1" s="1"/>
  <c r="N30" i="1"/>
  <c r="H30" i="1" l="1"/>
  <c r="P30" i="1"/>
  <c r="O31" i="1"/>
  <c r="I30" i="1"/>
  <c r="Q30" i="1" l="1"/>
  <c r="F31" i="1"/>
  <c r="M31" i="1"/>
  <c r="U31" i="1" l="1"/>
  <c r="T31" i="1"/>
  <c r="S31" i="1"/>
  <c r="K31" i="1"/>
  <c r="L31" i="1" s="1"/>
  <c r="J31" i="1" s="1"/>
  <c r="R31" i="1" s="1"/>
  <c r="N31" i="1"/>
  <c r="I31" i="1" l="1"/>
  <c r="Q31" i="1" s="1"/>
  <c r="O32" i="1"/>
  <c r="H31" i="1"/>
  <c r="P31" i="1" l="1"/>
  <c r="M32" i="1"/>
  <c r="F32" i="1"/>
  <c r="K32" i="1" l="1"/>
  <c r="L32" i="1" s="1"/>
  <c r="H32" i="1" s="1"/>
  <c r="N32" i="1"/>
  <c r="J32" i="1"/>
  <c r="R32" i="1" s="1"/>
  <c r="U32" i="1"/>
  <c r="T32" i="1"/>
  <c r="S32" i="1"/>
  <c r="O33" i="1" l="1"/>
  <c r="I32" i="1"/>
  <c r="Q32" i="1" s="1"/>
  <c r="M33" i="1"/>
  <c r="F33" i="1"/>
  <c r="P32" i="1"/>
  <c r="K33" i="1" l="1"/>
  <c r="L33" i="1" s="1"/>
  <c r="H33" i="1" s="1"/>
  <c r="N33" i="1"/>
  <c r="S33" i="1"/>
  <c r="T33" i="1"/>
  <c r="U33" i="1"/>
  <c r="J33" i="1"/>
  <c r="R33" i="1" s="1"/>
  <c r="O34" i="1" l="1"/>
  <c r="I33" i="1"/>
  <c r="P33" i="1"/>
  <c r="M34" i="1"/>
  <c r="N34" i="1" s="1"/>
  <c r="K34" i="1" l="1"/>
  <c r="L34" i="1" s="1"/>
  <c r="F34" i="1"/>
  <c r="Q33" i="1"/>
  <c r="O35" i="1"/>
  <c r="T34" i="1" l="1"/>
  <c r="U34" i="1"/>
  <c r="S34" i="1"/>
  <c r="J34" i="1"/>
  <c r="R34" i="1" s="1"/>
  <c r="I34" i="1"/>
  <c r="H34" i="1"/>
  <c r="P34" i="1" s="1"/>
  <c r="Q34" i="1"/>
  <c r="F35" i="1" l="1"/>
  <c r="S35" i="1" s="1"/>
  <c r="M35" i="1"/>
  <c r="N35" i="1" s="1"/>
  <c r="K35" i="1" l="1"/>
  <c r="L35" i="1" s="1"/>
  <c r="T35" i="1"/>
  <c r="U35" i="1"/>
  <c r="J35" i="1"/>
  <c r="R35" i="1" s="1"/>
  <c r="H35" i="1"/>
  <c r="P35" i="1" s="1"/>
  <c r="O36" i="1"/>
  <c r="I35" i="1"/>
  <c r="Q35" i="1" l="1"/>
  <c r="F36" i="1"/>
  <c r="M36" i="1"/>
  <c r="S36" i="1" l="1"/>
  <c r="T36" i="1"/>
  <c r="U36" i="1"/>
  <c r="N36" i="1"/>
  <c r="K36" i="1"/>
  <c r="L36" i="1" s="1"/>
  <c r="I36" i="1" l="1"/>
  <c r="Q36" i="1" s="1"/>
  <c r="J36" i="1"/>
  <c r="R36" i="1" s="1"/>
  <c r="O37" i="1"/>
  <c r="H36" i="1"/>
  <c r="M37" i="1" l="1"/>
  <c r="F37" i="1"/>
  <c r="P36" i="1"/>
  <c r="K37" i="1" l="1"/>
  <c r="L37" i="1" s="1"/>
  <c r="N37" i="1"/>
  <c r="U37" i="1"/>
  <c r="S37" i="1"/>
  <c r="T37" i="1"/>
  <c r="J37" i="1" l="1"/>
  <c r="R37" i="1" s="1"/>
  <c r="H37" i="1"/>
  <c r="O38" i="1"/>
  <c r="I37" i="1"/>
  <c r="P37" i="1" l="1"/>
  <c r="M38" i="1"/>
  <c r="Q37" i="1"/>
  <c r="F38" i="1"/>
  <c r="K38" i="1" l="1"/>
  <c r="L38" i="1" s="1"/>
  <c r="J38" i="1" s="1"/>
  <c r="R38" i="1" s="1"/>
  <c r="N38" i="1"/>
  <c r="T38" i="1"/>
  <c r="U38" i="1"/>
  <c r="S38" i="1"/>
  <c r="O39" i="1"/>
  <c r="I38" i="1" l="1"/>
  <c r="H38" i="1"/>
  <c r="P38" i="1" s="1"/>
  <c r="Q38" i="1"/>
  <c r="M39" i="1" l="1"/>
  <c r="F39" i="1"/>
  <c r="S39" i="1" s="1"/>
  <c r="N39" i="1"/>
  <c r="K39" i="1"/>
  <c r="L39" i="1" s="1"/>
  <c r="O40" i="1"/>
  <c r="I39" i="1" l="1"/>
  <c r="Q39" i="1" s="1"/>
  <c r="T39" i="1"/>
  <c r="U39" i="1"/>
  <c r="H39" i="1"/>
  <c r="P39" i="1" s="1"/>
  <c r="J39" i="1"/>
  <c r="F40" i="1" s="1"/>
  <c r="M40" i="1" l="1"/>
  <c r="K40" i="1" s="1"/>
  <c r="L40" i="1" s="1"/>
  <c r="R39" i="1"/>
  <c r="T40" i="1"/>
  <c r="S40" i="1"/>
  <c r="U40" i="1"/>
  <c r="I40" i="1" l="1"/>
  <c r="Q40" i="1" s="1"/>
  <c r="O41" i="1"/>
  <c r="N40" i="1"/>
  <c r="H40" i="1"/>
  <c r="J40" i="1"/>
  <c r="P40" i="1" l="1"/>
  <c r="F41" i="1"/>
  <c r="S41" i="1" s="1"/>
  <c r="M41" i="1"/>
  <c r="R40" i="1"/>
  <c r="N41" i="1" l="1"/>
  <c r="K41" i="1"/>
  <c r="L41" i="1" s="1"/>
  <c r="T41" i="1"/>
  <c r="U41" i="1"/>
  <c r="I41" i="1" l="1"/>
  <c r="Q41" i="1" s="1"/>
  <c r="H41" i="1"/>
  <c r="P41" i="1" s="1"/>
  <c r="O42" i="1"/>
  <c r="J41" i="1"/>
  <c r="M42" i="1" l="1"/>
  <c r="R41" i="1"/>
  <c r="F42" i="1"/>
  <c r="N42" i="1" l="1"/>
  <c r="K42" i="1"/>
  <c r="L42" i="1" s="1"/>
  <c r="U42" i="1"/>
  <c r="S42" i="1"/>
  <c r="T42" i="1"/>
  <c r="I42" i="1"/>
  <c r="Q42" i="1" s="1"/>
  <c r="J42" i="1"/>
  <c r="R42" i="1" s="1"/>
  <c r="O43" i="1"/>
  <c r="H42" i="1"/>
  <c r="P42" i="1" l="1"/>
  <c r="M43" i="1"/>
  <c r="F43" i="1"/>
  <c r="N43" i="1" l="1"/>
  <c r="K43" i="1"/>
  <c r="L43" i="1" s="1"/>
  <c r="U43" i="1"/>
  <c r="S43" i="1"/>
  <c r="T43" i="1"/>
  <c r="I43" i="1" l="1"/>
  <c r="Q43" i="1" s="1"/>
  <c r="J43" i="1"/>
  <c r="R43" i="1" s="1"/>
  <c r="O44" i="1"/>
  <c r="H43" i="1"/>
  <c r="P43" i="1" l="1"/>
  <c r="F44" i="1"/>
  <c r="M44" i="1"/>
  <c r="S44" i="1" l="1"/>
  <c r="U44" i="1"/>
  <c r="T44" i="1"/>
  <c r="N44" i="1"/>
  <c r="K44" i="1"/>
  <c r="L44" i="1" s="1"/>
  <c r="H44" i="1" s="1"/>
  <c r="P44" i="1" s="1"/>
  <c r="J44" i="1"/>
  <c r="O45" i="1" l="1"/>
  <c r="I44" i="1"/>
  <c r="F45" i="1" s="1"/>
  <c r="R44" i="1"/>
  <c r="M45" i="1" l="1"/>
  <c r="Q44" i="1"/>
  <c r="U45" i="1"/>
  <c r="S45" i="1"/>
  <c r="T45" i="1"/>
  <c r="N45" i="1" l="1"/>
  <c r="K45" i="1"/>
  <c r="L45" i="1" s="1"/>
  <c r="H45" i="1" l="1"/>
  <c r="P45" i="1" s="1"/>
  <c r="I45" i="1"/>
  <c r="Q45" i="1" s="1"/>
  <c r="J45" i="1"/>
  <c r="O46" i="1"/>
  <c r="F46" i="1" l="1"/>
  <c r="M46" i="1"/>
  <c r="R45" i="1"/>
  <c r="T46" i="1" l="1"/>
  <c r="S46" i="1"/>
  <c r="U46" i="1"/>
  <c r="N46" i="1"/>
  <c r="K46" i="1"/>
  <c r="L46" i="1" s="1"/>
  <c r="I46" i="1" s="1"/>
  <c r="Q46" i="1" s="1"/>
  <c r="H46" i="1" l="1"/>
  <c r="O47" i="1"/>
  <c r="J46" i="1"/>
  <c r="R46" i="1" s="1"/>
  <c r="F47" i="1" l="1"/>
  <c r="M47" i="1"/>
  <c r="P46" i="1"/>
  <c r="T47" i="1" l="1"/>
  <c r="U47" i="1"/>
  <c r="S47" i="1"/>
  <c r="N47" i="1"/>
  <c r="K47" i="1"/>
  <c r="L47" i="1" s="1"/>
  <c r="J47" i="1" s="1"/>
  <c r="R47" i="1" s="1"/>
  <c r="H47" i="1" l="1"/>
  <c r="O48" i="1"/>
  <c r="I47" i="1"/>
  <c r="Q47" i="1" s="1"/>
  <c r="P47" i="1" l="1"/>
  <c r="F48" i="1"/>
  <c r="M48" i="1"/>
  <c r="T48" i="1" l="1"/>
  <c r="S48" i="1"/>
  <c r="U48" i="1"/>
  <c r="K48" i="1"/>
  <c r="L48" i="1" s="1"/>
  <c r="N48" i="1"/>
  <c r="I48" i="1" l="1"/>
  <c r="Q48" i="1" s="1"/>
  <c r="J48" i="1"/>
  <c r="R48" i="1" s="1"/>
  <c r="O49" i="1"/>
  <c r="H48" i="1"/>
  <c r="P48" i="1" l="1"/>
  <c r="M49" i="1"/>
  <c r="F49" i="1"/>
  <c r="N49" i="1" l="1"/>
  <c r="K49" i="1"/>
  <c r="L49" i="1" s="1"/>
  <c r="T49" i="1"/>
  <c r="U49" i="1"/>
  <c r="S49" i="1"/>
  <c r="H49" i="1" l="1"/>
  <c r="P49" i="1" s="1"/>
  <c r="I49" i="1"/>
  <c r="Q49" i="1" s="1"/>
  <c r="O50" i="1"/>
  <c r="J49" i="1"/>
  <c r="R49" i="1" l="1"/>
  <c r="F50" i="1"/>
  <c r="M50" i="1"/>
  <c r="T50" i="1" l="1"/>
  <c r="U50" i="1"/>
  <c r="S50" i="1"/>
  <c r="N50" i="1"/>
  <c r="K50" i="1"/>
  <c r="L50" i="1" s="1"/>
  <c r="J50" i="1" s="1"/>
  <c r="R50" i="1" s="1"/>
  <c r="I50" i="1" l="1"/>
  <c r="Q50" i="1" s="1"/>
  <c r="O51" i="1"/>
  <c r="H50" i="1"/>
  <c r="F51" i="1"/>
  <c r="M51" i="1" l="1"/>
  <c r="P50" i="1"/>
  <c r="J51" i="1"/>
  <c r="R51" i="1" s="1"/>
  <c r="U51" i="1"/>
  <c r="S51" i="1"/>
  <c r="T51" i="1"/>
  <c r="K51" i="1" l="1"/>
  <c r="L51" i="1" s="1"/>
  <c r="N51" i="1"/>
  <c r="O52" i="1"/>
  <c r="I51" i="1" l="1"/>
  <c r="H51" i="1"/>
  <c r="P51" i="1" s="1"/>
  <c r="M52" i="1" l="1"/>
  <c r="Q51" i="1"/>
  <c r="F52" i="1"/>
  <c r="J52" i="1" s="1"/>
  <c r="R52" i="1" s="1"/>
  <c r="N52" i="1"/>
  <c r="K52" i="1"/>
  <c r="L52" i="1" s="1"/>
  <c r="O53" i="1"/>
  <c r="U52" i="1" l="1"/>
  <c r="T52" i="1"/>
  <c r="S52" i="1"/>
  <c r="I52" i="1"/>
  <c r="H52" i="1"/>
  <c r="P52" i="1" s="1"/>
  <c r="Q52" i="1" l="1"/>
  <c r="M53" i="1"/>
  <c r="F53" i="1"/>
  <c r="K53" i="1" l="1"/>
  <c r="L53" i="1" s="1"/>
  <c r="I53" i="1" s="1"/>
  <c r="Q53" i="1" s="1"/>
  <c r="N53" i="1"/>
  <c r="S53" i="1"/>
  <c r="U53" i="1"/>
  <c r="T53" i="1"/>
  <c r="H53" i="1" l="1"/>
  <c r="O54" i="1"/>
  <c r="J53" i="1"/>
  <c r="P53" i="1"/>
  <c r="R53" i="1" l="1"/>
  <c r="M54" i="1"/>
  <c r="F54" i="1"/>
  <c r="N54" i="1" l="1"/>
  <c r="K54" i="1"/>
  <c r="L54" i="1" s="1"/>
  <c r="I54" i="1" s="1"/>
  <c r="Q54" i="1" s="1"/>
  <c r="S54" i="1"/>
  <c r="U54" i="1"/>
  <c r="T54" i="1"/>
  <c r="J54" i="1"/>
  <c r="R54" i="1" s="1"/>
  <c r="O55" i="1"/>
  <c r="H54" i="1"/>
  <c r="F55" i="1" l="1"/>
  <c r="P54" i="1"/>
  <c r="M55" i="1"/>
  <c r="T55" i="1" l="1"/>
  <c r="U55" i="1"/>
  <c r="S55" i="1"/>
  <c r="K55" i="1"/>
  <c r="L55" i="1" s="1"/>
  <c r="N55" i="1"/>
  <c r="J55" i="1" l="1"/>
  <c r="R55" i="1" s="1"/>
  <c r="I55" i="1"/>
  <c r="Q55" i="1" s="1"/>
  <c r="O56" i="1"/>
  <c r="H55" i="1"/>
  <c r="F56" i="1" l="1"/>
  <c r="M56" i="1"/>
  <c r="P55" i="1"/>
  <c r="U56" i="1" l="1"/>
  <c r="S56" i="1"/>
  <c r="T56" i="1"/>
  <c r="N56" i="1"/>
  <c r="K56" i="1"/>
  <c r="L56" i="1" s="1"/>
  <c r="J56" i="1" s="1"/>
  <c r="R56" i="1" s="1"/>
  <c r="H56" i="1" l="1"/>
  <c r="P56" i="1" s="1"/>
  <c r="O57" i="1"/>
  <c r="I56" i="1"/>
  <c r="M57" i="1" l="1"/>
  <c r="K57" i="1" s="1"/>
  <c r="L57" i="1" s="1"/>
  <c r="Q56" i="1"/>
  <c r="F57" i="1"/>
  <c r="N57" i="1"/>
  <c r="I57" i="1" l="1"/>
  <c r="Q57" i="1" s="1"/>
  <c r="J57" i="1"/>
  <c r="R57" i="1" s="1"/>
  <c r="S57" i="1"/>
  <c r="T57" i="1"/>
  <c r="U57" i="1"/>
  <c r="O58" i="1"/>
  <c r="H57" i="1"/>
  <c r="F58" i="1" l="1"/>
  <c r="M58" i="1"/>
  <c r="P57" i="1"/>
  <c r="T58" i="1" l="1"/>
  <c r="S58" i="1"/>
  <c r="U58" i="1"/>
  <c r="K58" i="1"/>
  <c r="L58" i="1" s="1"/>
  <c r="N58" i="1"/>
  <c r="J58" i="1" l="1"/>
  <c r="R58" i="1" s="1"/>
  <c r="I58" i="1"/>
  <c r="Q58" i="1" s="1"/>
  <c r="O59" i="1"/>
  <c r="H58" i="1"/>
  <c r="P58" i="1" l="1"/>
  <c r="F59" i="1"/>
  <c r="M59" i="1"/>
  <c r="S59" i="1" l="1"/>
  <c r="U59" i="1"/>
  <c r="T59" i="1"/>
  <c r="N59" i="1"/>
  <c r="K59" i="1"/>
  <c r="L59" i="1" s="1"/>
  <c r="I59" i="1" s="1"/>
  <c r="Q59" i="1" s="1"/>
  <c r="J59" i="1" l="1"/>
  <c r="R59" i="1" s="1"/>
  <c r="O60" i="1"/>
  <c r="H59" i="1"/>
  <c r="M60" i="1" l="1"/>
  <c r="P59" i="1"/>
  <c r="F60" i="1"/>
  <c r="N60" i="1" l="1"/>
  <c r="K60" i="1"/>
  <c r="L60" i="1" s="1"/>
  <c r="H60" i="1"/>
  <c r="I60" i="1"/>
  <c r="Q60" i="1" s="1"/>
  <c r="S60" i="1"/>
  <c r="T60" i="1"/>
  <c r="U60" i="1"/>
  <c r="P60" i="1" l="1"/>
  <c r="O61" i="1"/>
  <c r="J60" i="1"/>
  <c r="F61" i="1" s="1"/>
  <c r="T61" i="1" l="1"/>
  <c r="S61" i="1"/>
  <c r="U61" i="1"/>
  <c r="R60" i="1"/>
  <c r="M61" i="1"/>
  <c r="K61" i="1" l="1"/>
  <c r="L61" i="1" s="1"/>
  <c r="N61" i="1"/>
  <c r="H61" i="1" l="1"/>
  <c r="P61" i="1" s="1"/>
  <c r="J61" i="1"/>
  <c r="R61" i="1" s="1"/>
  <c r="O62" i="1"/>
  <c r="I61" i="1"/>
  <c r="F62" i="1" l="1"/>
  <c r="M62" i="1"/>
  <c r="Q61" i="1"/>
  <c r="S62" i="1" l="1"/>
  <c r="U62" i="1"/>
  <c r="T62" i="1"/>
  <c r="K62" i="1"/>
  <c r="L62" i="1" s="1"/>
  <c r="J62" i="1" s="1"/>
  <c r="R62" i="1" s="1"/>
  <c r="N62" i="1"/>
  <c r="I62" i="1" l="1"/>
  <c r="Q62" i="1" s="1"/>
  <c r="O63" i="1"/>
  <c r="H62" i="1"/>
  <c r="P62" i="1" l="1"/>
  <c r="F63" i="1"/>
  <c r="M63" i="1"/>
  <c r="U63" i="1" l="1"/>
  <c r="T63" i="1"/>
  <c r="S63" i="1"/>
  <c r="N63" i="1"/>
  <c r="K63" i="1"/>
  <c r="L63" i="1" s="1"/>
  <c r="H63" i="1"/>
  <c r="J63" i="1"/>
  <c r="R63" i="1" s="1"/>
  <c r="P63" i="1"/>
  <c r="O64" i="1"/>
  <c r="I63" i="1"/>
  <c r="Q63" i="1" l="1"/>
  <c r="M64" i="1"/>
  <c r="F64" i="1"/>
  <c r="N64" i="1" l="1"/>
  <c r="K64" i="1"/>
  <c r="L64" i="1" s="1"/>
  <c r="H64" i="1"/>
  <c r="I64" i="1"/>
  <c r="Q64" i="1" s="1"/>
  <c r="T64" i="1"/>
  <c r="U64" i="1"/>
  <c r="S64" i="1"/>
  <c r="O65" i="1" l="1"/>
  <c r="J64" i="1"/>
  <c r="R64" i="1" s="1"/>
  <c r="P64" i="1"/>
  <c r="F65" i="1" l="1"/>
  <c r="U65" i="1" s="1"/>
  <c r="M65" i="1"/>
  <c r="K65" i="1" s="1"/>
  <c r="L65" i="1" s="1"/>
  <c r="N65" i="1" l="1"/>
  <c r="S65" i="1"/>
  <c r="T65" i="1"/>
  <c r="J65" i="1"/>
  <c r="R65" i="1" s="1"/>
  <c r="H65" i="1"/>
  <c r="P65" i="1" s="1"/>
  <c r="O66" i="1"/>
  <c r="I65" i="1"/>
  <c r="M66" i="1" l="1"/>
  <c r="N66" i="1" s="1"/>
  <c r="Q65" i="1"/>
  <c r="F66" i="1"/>
  <c r="K66" i="1" l="1"/>
  <c r="L66" i="1" s="1"/>
  <c r="H66" i="1" s="1"/>
  <c r="S66" i="1"/>
  <c r="T66" i="1"/>
  <c r="U66" i="1"/>
  <c r="I66" i="1"/>
  <c r="Q66" i="1" s="1"/>
  <c r="J66" i="1"/>
  <c r="O67" i="1"/>
  <c r="P66" i="1" l="1"/>
  <c r="F67" i="1"/>
  <c r="M67" i="1"/>
  <c r="R66" i="1"/>
  <c r="S67" i="1" l="1"/>
  <c r="T67" i="1"/>
  <c r="U67" i="1"/>
  <c r="K67" i="1"/>
  <c r="L67" i="1" s="1"/>
  <c r="N67" i="1"/>
  <c r="I67" i="1" l="1"/>
  <c r="Q67" i="1" s="1"/>
  <c r="H67" i="1"/>
  <c r="P67" i="1" s="1"/>
  <c r="J67" i="1"/>
  <c r="O68" i="1"/>
  <c r="M68" i="1" l="1"/>
  <c r="F68" i="1"/>
  <c r="R67" i="1"/>
  <c r="N68" i="1" l="1"/>
  <c r="K68" i="1"/>
  <c r="L68" i="1" s="1"/>
  <c r="S68" i="1"/>
  <c r="T68" i="1"/>
  <c r="U68" i="1"/>
  <c r="I68" i="1" l="1"/>
  <c r="Q68" i="1" s="1"/>
  <c r="J68" i="1"/>
  <c r="R68" i="1" s="1"/>
  <c r="O69" i="1"/>
  <c r="H68" i="1"/>
  <c r="P68" i="1" l="1"/>
  <c r="M69" i="1"/>
  <c r="F69" i="1"/>
  <c r="K69" i="1" l="1"/>
  <c r="L69" i="1" s="1"/>
  <c r="H69" i="1" s="1"/>
  <c r="N69" i="1"/>
  <c r="U69" i="1"/>
  <c r="T69" i="1"/>
  <c r="S69" i="1"/>
  <c r="I69" i="1" l="1"/>
  <c r="Q69" i="1" s="1"/>
  <c r="P69" i="1"/>
  <c r="O70" i="1"/>
  <c r="J69" i="1"/>
  <c r="R69" i="1" l="1"/>
  <c r="M70" i="1"/>
  <c r="F70" i="1"/>
  <c r="K70" i="1" l="1"/>
  <c r="L70" i="1" s="1"/>
  <c r="N70" i="1"/>
  <c r="S70" i="1"/>
  <c r="T70" i="1"/>
  <c r="U70" i="1"/>
  <c r="I70" i="1"/>
  <c r="Q70" i="1" s="1"/>
  <c r="H70" i="1" l="1"/>
  <c r="J70" i="1"/>
  <c r="R70" i="1" s="1"/>
  <c r="O71" i="1"/>
  <c r="P70" i="1" l="1"/>
  <c r="F71" i="1"/>
  <c r="M71" i="1"/>
  <c r="T71" i="1" l="1"/>
  <c r="S71" i="1"/>
  <c r="U71" i="1"/>
  <c r="K71" i="1"/>
  <c r="L71" i="1" s="1"/>
  <c r="J71" i="1" s="1"/>
  <c r="N71" i="1"/>
  <c r="O72" i="1"/>
  <c r="I71" i="1" l="1"/>
  <c r="Q71" i="1" s="1"/>
  <c r="H71" i="1"/>
  <c r="R71" i="1"/>
  <c r="P71" i="1" l="1"/>
  <c r="M72" i="1"/>
  <c r="F72" i="1"/>
  <c r="N72" i="1" l="1"/>
  <c r="K72" i="1"/>
  <c r="L72" i="1" s="1"/>
  <c r="S72" i="1"/>
  <c r="U72" i="1"/>
  <c r="T72" i="1"/>
  <c r="J72" i="1"/>
  <c r="R72" i="1" s="1"/>
  <c r="I72" i="1"/>
  <c r="Q72" i="1" s="1"/>
  <c r="O73" i="1"/>
  <c r="H72" i="1"/>
  <c r="F73" i="1" l="1"/>
  <c r="M73" i="1"/>
  <c r="P72" i="1"/>
  <c r="T73" i="1" l="1"/>
  <c r="U73" i="1"/>
  <c r="S73" i="1"/>
  <c r="N73" i="1"/>
  <c r="K73" i="1"/>
  <c r="L73" i="1" s="1"/>
  <c r="H73" i="1" l="1"/>
  <c r="P73" i="1" s="1"/>
  <c r="J73" i="1"/>
  <c r="R73" i="1" s="1"/>
  <c r="O74" i="1"/>
  <c r="I73" i="1"/>
  <c r="Q73" i="1" l="1"/>
  <c r="F74" i="1"/>
  <c r="M74" i="1"/>
  <c r="U74" i="1" l="1"/>
  <c r="T74" i="1"/>
  <c r="S74" i="1"/>
  <c r="N74" i="1"/>
  <c r="K74" i="1"/>
  <c r="L74" i="1" s="1"/>
  <c r="J74" i="1" s="1"/>
  <c r="R74" i="1" s="1"/>
  <c r="I74" i="1" l="1"/>
  <c r="Q74" i="1" s="1"/>
  <c r="H74" i="1"/>
  <c r="O75" i="1"/>
  <c r="P74" i="1" l="1"/>
  <c r="M75" i="1"/>
  <c r="F75" i="1"/>
  <c r="N75" i="1" l="1"/>
  <c r="K75" i="1"/>
  <c r="L75" i="1" s="1"/>
  <c r="H75" i="1" s="1"/>
  <c r="U75" i="1"/>
  <c r="S75" i="1"/>
  <c r="T75" i="1"/>
  <c r="I75" i="1"/>
  <c r="Q75" i="1" s="1"/>
  <c r="O76" i="1"/>
  <c r="J75" i="1" l="1"/>
  <c r="R75" i="1" s="1"/>
  <c r="P75" i="1"/>
  <c r="F76" i="1" l="1"/>
  <c r="H76" i="1" s="1"/>
  <c r="M76" i="1"/>
  <c r="N76" i="1" s="1"/>
  <c r="K76" i="1" l="1"/>
  <c r="L76" i="1" s="1"/>
  <c r="U76" i="1"/>
  <c r="T76" i="1"/>
  <c r="J76" i="1"/>
  <c r="R76" i="1" s="1"/>
  <c r="S76" i="1"/>
  <c r="I76" i="1"/>
  <c r="Q76" i="1" s="1"/>
  <c r="O77" i="1"/>
  <c r="M77" i="1"/>
  <c r="F77" i="1"/>
  <c r="P76" i="1"/>
  <c r="K77" i="1" l="1"/>
  <c r="L77" i="1" s="1"/>
  <c r="J77" i="1" s="1"/>
  <c r="R77" i="1" s="1"/>
  <c r="N77" i="1"/>
  <c r="S77" i="1"/>
  <c r="U77" i="1"/>
  <c r="T77" i="1"/>
  <c r="I77" i="1" l="1"/>
  <c r="Q77" i="1" s="1"/>
  <c r="H77" i="1"/>
  <c r="O78" i="1"/>
  <c r="P77" i="1" l="1"/>
  <c r="F78" i="1"/>
  <c r="M78" i="1"/>
  <c r="S78" i="1" l="1"/>
  <c r="U78" i="1"/>
  <c r="T78" i="1"/>
  <c r="N78" i="1"/>
  <c r="K78" i="1"/>
  <c r="L78" i="1" s="1"/>
  <c r="J78" i="1" s="1"/>
  <c r="H78" i="1" l="1"/>
  <c r="I78" i="1"/>
  <c r="Q78" i="1" s="1"/>
  <c r="O79" i="1"/>
  <c r="R78" i="1"/>
  <c r="P78" i="1" l="1"/>
  <c r="F79" i="1"/>
  <c r="T79" i="1" s="1"/>
  <c r="M79" i="1"/>
  <c r="U79" i="1" l="1"/>
  <c r="S79" i="1"/>
  <c r="N79" i="1"/>
  <c r="K79" i="1"/>
  <c r="L79" i="1" s="1"/>
  <c r="J79" i="1"/>
  <c r="O80" i="1"/>
  <c r="H79" i="1" l="1"/>
  <c r="P79" i="1" s="1"/>
  <c r="I79" i="1"/>
  <c r="R79" i="1"/>
  <c r="Q79" i="1" l="1"/>
  <c r="F80" i="1"/>
  <c r="T80" i="1" s="1"/>
  <c r="M80" i="1"/>
  <c r="N80" i="1" s="1"/>
  <c r="K80" i="1" l="1"/>
  <c r="L80" i="1" s="1"/>
  <c r="U80" i="1"/>
  <c r="I80" i="1"/>
  <c r="J80" i="1"/>
  <c r="R80" i="1" s="1"/>
  <c r="S80" i="1"/>
  <c r="O81" i="1"/>
  <c r="H80" i="1"/>
  <c r="Q80" i="1"/>
  <c r="P80" i="1" l="1"/>
  <c r="F81" i="1"/>
  <c r="M81" i="1"/>
  <c r="T81" i="1" l="1"/>
  <c r="U81" i="1"/>
  <c r="S81" i="1"/>
  <c r="K81" i="1"/>
  <c r="L81" i="1" s="1"/>
  <c r="I81" i="1" s="1"/>
  <c r="Q81" i="1" s="1"/>
  <c r="N81" i="1"/>
  <c r="J81" i="1" l="1"/>
  <c r="R81" i="1" s="1"/>
  <c r="O82" i="1"/>
  <c r="H81" i="1"/>
  <c r="M82" i="1" l="1"/>
  <c r="P81" i="1"/>
  <c r="F82" i="1"/>
  <c r="K82" i="1" l="1"/>
  <c r="L82" i="1" s="1"/>
  <c r="N82" i="1"/>
  <c r="T82" i="1"/>
  <c r="S82" i="1"/>
  <c r="U82" i="1"/>
  <c r="H82" i="1"/>
  <c r="P82" i="1" s="1"/>
  <c r="J82" i="1"/>
  <c r="R82" i="1" s="1"/>
  <c r="O83" i="1" l="1"/>
  <c r="I82" i="1"/>
  <c r="M83" i="1" l="1"/>
  <c r="F83" i="1"/>
  <c r="Q82" i="1"/>
  <c r="K83" i="1" l="1"/>
  <c r="L83" i="1" s="1"/>
  <c r="J83" i="1" s="1"/>
  <c r="N83" i="1"/>
  <c r="U83" i="1"/>
  <c r="T83" i="1"/>
  <c r="S83" i="1"/>
  <c r="H83" i="1"/>
  <c r="O84" i="1" l="1"/>
  <c r="I83" i="1"/>
  <c r="Q83" i="1" s="1"/>
  <c r="P83" i="1"/>
  <c r="F84" i="1"/>
  <c r="R83" i="1"/>
  <c r="M84" i="1"/>
  <c r="K84" i="1" l="1"/>
  <c r="L84" i="1" s="1"/>
  <c r="H84" i="1" s="1"/>
  <c r="P84" i="1" s="1"/>
  <c r="N84" i="1"/>
  <c r="S84" i="1"/>
  <c r="T84" i="1"/>
  <c r="U84" i="1"/>
  <c r="I84" i="1"/>
  <c r="O85" i="1"/>
  <c r="J84" i="1" l="1"/>
  <c r="R84" i="1" s="1"/>
  <c r="Q84" i="1"/>
  <c r="M85" i="1" l="1"/>
  <c r="N85" i="1" s="1"/>
  <c r="F85" i="1"/>
  <c r="U85" i="1" s="1"/>
  <c r="T85" i="1" l="1"/>
  <c r="S85" i="1"/>
  <c r="K85" i="1"/>
  <c r="L85" i="1" s="1"/>
  <c r="H85" i="1" s="1"/>
  <c r="P85" i="1" s="1"/>
  <c r="I85" i="1"/>
  <c r="Q85" i="1" s="1"/>
  <c r="O86" i="1"/>
  <c r="J85" i="1"/>
  <c r="M86" i="1" l="1"/>
  <c r="F86" i="1"/>
  <c r="R85" i="1"/>
  <c r="K86" i="1" l="1"/>
  <c r="L86" i="1" s="1"/>
  <c r="I86" i="1" s="1"/>
  <c r="Q86" i="1" s="1"/>
  <c r="N86" i="1"/>
  <c r="U86" i="1"/>
  <c r="S86" i="1"/>
  <c r="T86" i="1"/>
  <c r="H86" i="1" l="1"/>
  <c r="J86" i="1"/>
  <c r="R86" i="1" s="1"/>
  <c r="O87" i="1"/>
  <c r="F87" i="1"/>
  <c r="P86" i="1"/>
  <c r="M87" i="1" l="1"/>
  <c r="K87" i="1" s="1"/>
  <c r="L87" i="1" s="1"/>
  <c r="T87" i="1"/>
  <c r="S87" i="1"/>
  <c r="U87" i="1"/>
  <c r="N87" i="1" l="1"/>
  <c r="H87" i="1"/>
  <c r="P87" i="1" s="1"/>
  <c r="I87" i="1"/>
  <c r="Q87" i="1" s="1"/>
  <c r="O88" i="1"/>
  <c r="J87" i="1"/>
  <c r="M88" i="1" l="1"/>
  <c r="K88" i="1" s="1"/>
  <c r="L88" i="1" s="1"/>
  <c r="O89" i="1" s="1"/>
  <c r="R87" i="1"/>
  <c r="F88" i="1"/>
  <c r="N88" i="1" l="1"/>
  <c r="I88" i="1"/>
  <c r="Q88" i="1" s="1"/>
  <c r="T88" i="1"/>
  <c r="S88" i="1"/>
  <c r="U88" i="1"/>
  <c r="J88" i="1"/>
  <c r="R88" i="1" s="1"/>
  <c r="H88" i="1"/>
  <c r="F89" i="1" l="1"/>
  <c r="P88" i="1"/>
  <c r="M89" i="1"/>
  <c r="S89" i="1" l="1"/>
  <c r="T89" i="1"/>
  <c r="U89" i="1"/>
  <c r="N89" i="1"/>
  <c r="K89" i="1"/>
  <c r="L89" i="1" s="1"/>
  <c r="I89" i="1" l="1"/>
  <c r="Q89" i="1" s="1"/>
  <c r="J89" i="1"/>
  <c r="R89" i="1" s="1"/>
  <c r="O90" i="1"/>
  <c r="H89" i="1"/>
  <c r="F90" i="1" l="1"/>
  <c r="M90" i="1"/>
  <c r="P89" i="1"/>
  <c r="U90" i="1" l="1"/>
  <c r="T90" i="1"/>
  <c r="S90" i="1"/>
  <c r="N90" i="1"/>
  <c r="K90" i="1"/>
  <c r="L90" i="1" s="1"/>
  <c r="I90" i="1" s="1"/>
  <c r="Q90" i="1" s="1"/>
  <c r="J90" i="1" l="1"/>
  <c r="R90" i="1" s="1"/>
  <c r="O91" i="1"/>
  <c r="H90" i="1"/>
  <c r="P90" i="1" l="1"/>
  <c r="F91" i="1"/>
  <c r="M91" i="1"/>
  <c r="T91" i="1" l="1"/>
  <c r="U91" i="1"/>
  <c r="S91" i="1"/>
  <c r="N91" i="1"/>
  <c r="K91" i="1"/>
  <c r="L91" i="1" s="1"/>
  <c r="J91" i="1" s="1"/>
  <c r="R91" i="1" s="1"/>
  <c r="I91" i="1" l="1"/>
  <c r="Q91" i="1" s="1"/>
  <c r="O92" i="1"/>
  <c r="H91" i="1"/>
  <c r="F92" i="1" l="1"/>
  <c r="M92" i="1"/>
  <c r="P91" i="1"/>
  <c r="T92" i="1" l="1"/>
  <c r="U92" i="1"/>
  <c r="S92" i="1"/>
  <c r="N92" i="1"/>
  <c r="K92" i="1"/>
  <c r="L92" i="1" s="1"/>
  <c r="I92" i="1" s="1"/>
  <c r="Q92" i="1" s="1"/>
  <c r="H92" i="1" l="1"/>
  <c r="P92" i="1"/>
  <c r="O93" i="1"/>
  <c r="J92" i="1"/>
  <c r="R92" i="1" l="1"/>
  <c r="M93" i="1"/>
  <c r="F93" i="1"/>
  <c r="K93" i="1" l="1"/>
  <c r="L93" i="1" s="1"/>
  <c r="H93" i="1" s="1"/>
  <c r="N93" i="1"/>
  <c r="S93" i="1"/>
  <c r="U93" i="1"/>
  <c r="T93" i="1"/>
  <c r="J93" i="1"/>
  <c r="R93" i="1" s="1"/>
  <c r="P93" i="1" l="1"/>
  <c r="O94" i="1"/>
  <c r="I93" i="1"/>
  <c r="Q93" i="1" l="1"/>
  <c r="F94" i="1"/>
  <c r="M94" i="1"/>
  <c r="S94" i="1" l="1"/>
  <c r="T94" i="1"/>
  <c r="U94" i="1"/>
  <c r="N94" i="1"/>
  <c r="K94" i="1"/>
  <c r="L94" i="1" s="1"/>
  <c r="I94" i="1" s="1"/>
  <c r="Q94" i="1" s="1"/>
  <c r="O95" i="1"/>
  <c r="J94" i="1"/>
  <c r="H94" i="1" l="1"/>
  <c r="M95" i="1" s="1"/>
  <c r="R94" i="1"/>
  <c r="P94" i="1" l="1"/>
  <c r="F95" i="1"/>
  <c r="N95" i="1"/>
  <c r="K95" i="1"/>
  <c r="L95" i="1" s="1"/>
  <c r="O96" i="1"/>
  <c r="T95" i="1" l="1"/>
  <c r="J95" i="1"/>
  <c r="R95" i="1" s="1"/>
  <c r="U95" i="1"/>
  <c r="S95" i="1"/>
  <c r="H95" i="1"/>
  <c r="I95" i="1"/>
  <c r="P95" i="1"/>
  <c r="Q95" i="1" l="1"/>
  <c r="M96" i="1"/>
  <c r="N96" i="1" s="1"/>
  <c r="F96" i="1"/>
  <c r="K96" i="1" l="1"/>
  <c r="L96" i="1" s="1"/>
  <c r="J96" i="1"/>
  <c r="R96" i="1" s="1"/>
  <c r="U96" i="1"/>
  <c r="H96" i="1"/>
  <c r="T96" i="1"/>
  <c r="S96" i="1"/>
  <c r="O97" i="1"/>
  <c r="I96" i="1"/>
  <c r="P96" i="1"/>
  <c r="Q96" i="1" l="1"/>
  <c r="M97" i="1"/>
  <c r="F97" i="1"/>
  <c r="N97" i="1" l="1"/>
  <c r="K97" i="1"/>
  <c r="L97" i="1" s="1"/>
  <c r="O98" i="1" s="1"/>
  <c r="I97" i="1"/>
  <c r="J97" i="1"/>
  <c r="R97" i="1" s="1"/>
  <c r="U97" i="1"/>
  <c r="T97" i="1"/>
  <c r="S97" i="1"/>
  <c r="H97" i="1"/>
  <c r="Q97" i="1" l="1"/>
  <c r="M98" i="1"/>
  <c r="P97" i="1"/>
  <c r="F98" i="1"/>
  <c r="N98" i="1" l="1"/>
  <c r="K98" i="1"/>
  <c r="L98" i="1" s="1"/>
  <c r="O99" i="1" s="1"/>
  <c r="I98" i="1"/>
  <c r="Q98" i="1" s="1"/>
  <c r="T98" i="1"/>
  <c r="J98" i="1"/>
  <c r="U98" i="1"/>
  <c r="S98" i="1"/>
  <c r="H98" i="1"/>
  <c r="P98" i="1" s="1"/>
  <c r="R98" i="1" l="1"/>
  <c r="F99" i="1"/>
  <c r="S99" i="1" s="1"/>
  <c r="M99" i="1"/>
  <c r="T99" i="1" l="1"/>
  <c r="U99" i="1"/>
  <c r="N99" i="1"/>
  <c r="K99" i="1"/>
  <c r="L99" i="1" s="1"/>
  <c r="J99" i="1" s="1"/>
  <c r="R99" i="1" s="1"/>
  <c r="I99" i="1"/>
  <c r="Q99" i="1" s="1"/>
  <c r="O100" i="1"/>
  <c r="H99" i="1"/>
  <c r="F100" i="1" l="1"/>
  <c r="M100" i="1"/>
  <c r="P99" i="1"/>
  <c r="S100" i="1" l="1"/>
  <c r="T100" i="1"/>
  <c r="U100" i="1"/>
  <c r="N100" i="1"/>
  <c r="K100" i="1"/>
  <c r="L100" i="1" s="1"/>
  <c r="I100" i="1" l="1"/>
  <c r="Q100" i="1" s="1"/>
  <c r="J100" i="1"/>
  <c r="R100" i="1" s="1"/>
  <c r="O101" i="1"/>
  <c r="H100" i="1"/>
  <c r="F101" i="1" l="1"/>
  <c r="M101" i="1"/>
  <c r="P100" i="1"/>
  <c r="S101" i="1" l="1"/>
  <c r="T101" i="1"/>
  <c r="U101" i="1"/>
  <c r="K101" i="1"/>
  <c r="L101" i="1" s="1"/>
  <c r="N101" i="1"/>
  <c r="H101" i="1" l="1"/>
  <c r="P101" i="1" s="1"/>
  <c r="I101" i="1"/>
  <c r="Q101" i="1" s="1"/>
  <c r="O102" i="1"/>
  <c r="J101" i="1"/>
  <c r="F102" i="1" l="1"/>
  <c r="T102" i="1" s="1"/>
  <c r="R101" i="1"/>
  <c r="M102" i="1"/>
  <c r="S102" i="1" l="1"/>
  <c r="U102" i="1"/>
  <c r="K102" i="1"/>
  <c r="L102" i="1" s="1"/>
  <c r="N102" i="1"/>
  <c r="J102" i="1" l="1"/>
  <c r="R102" i="1" s="1"/>
  <c r="I102" i="1"/>
  <c r="Q102" i="1" s="1"/>
  <c r="H102" i="1"/>
  <c r="O103" i="1"/>
  <c r="P102" i="1" l="1"/>
  <c r="F103" i="1"/>
  <c r="M103" i="1"/>
  <c r="S103" i="1" l="1"/>
  <c r="T103" i="1"/>
  <c r="U103" i="1"/>
  <c r="K103" i="1"/>
  <c r="L103" i="1" s="1"/>
  <c r="I103" i="1" s="1"/>
  <c r="Q103" i="1" s="1"/>
  <c r="N103" i="1"/>
  <c r="J103" i="1" l="1"/>
  <c r="H103" i="1"/>
  <c r="P103" i="1" s="1"/>
  <c r="O104" i="1"/>
  <c r="R103" i="1" l="1"/>
  <c r="M104" i="1"/>
  <c r="F104" i="1"/>
  <c r="K104" i="1" l="1"/>
  <c r="L104" i="1" s="1"/>
  <c r="J104" i="1" s="1"/>
  <c r="R104" i="1" s="1"/>
  <c r="N104" i="1"/>
  <c r="U104" i="1"/>
  <c r="T104" i="1"/>
  <c r="S104" i="1"/>
  <c r="I104" i="1"/>
  <c r="Q104" i="1" s="1"/>
  <c r="H104" i="1"/>
  <c r="O105" i="1"/>
  <c r="M105" i="1" l="1"/>
  <c r="F105" i="1"/>
  <c r="P104" i="1"/>
  <c r="K105" i="1" l="1"/>
  <c r="L105" i="1" s="1"/>
  <c r="I105" i="1" s="1"/>
  <c r="Q105" i="1" s="1"/>
  <c r="N105" i="1"/>
  <c r="T105" i="1"/>
  <c r="U105" i="1"/>
  <c r="S105" i="1"/>
  <c r="O106" i="1"/>
  <c r="J105" i="1" l="1"/>
  <c r="R105" i="1" s="1"/>
  <c r="H105" i="1"/>
  <c r="F106" i="1" l="1"/>
  <c r="P105" i="1"/>
  <c r="M106" i="1"/>
  <c r="T106" i="1" l="1"/>
  <c r="U106" i="1"/>
  <c r="S106" i="1"/>
  <c r="N106" i="1"/>
  <c r="K106" i="1"/>
  <c r="L106" i="1" s="1"/>
  <c r="J106" i="1" s="1"/>
  <c r="R106" i="1" s="1"/>
  <c r="I106" i="1" l="1"/>
  <c r="Q106" i="1" s="1"/>
  <c r="O107" i="1"/>
  <c r="H106" i="1"/>
  <c r="M107" i="1" l="1"/>
  <c r="F107" i="1"/>
  <c r="P106" i="1"/>
  <c r="N107" i="1" l="1"/>
  <c r="K107" i="1"/>
  <c r="L107" i="1" s="1"/>
  <c r="T107" i="1"/>
  <c r="S107" i="1"/>
  <c r="U107" i="1"/>
  <c r="H107" i="1"/>
  <c r="I107" i="1"/>
  <c r="Q107" i="1"/>
  <c r="O108" i="1" l="1"/>
  <c r="J107" i="1"/>
  <c r="M108" i="1" s="1"/>
  <c r="P107" i="1"/>
  <c r="F108" i="1" l="1"/>
  <c r="R107" i="1"/>
  <c r="K108" i="1"/>
  <c r="L108" i="1" s="1"/>
  <c r="N108" i="1"/>
  <c r="T108" i="1" l="1"/>
  <c r="S108" i="1"/>
  <c r="H108" i="1"/>
  <c r="P108" i="1" s="1"/>
  <c r="U108" i="1"/>
  <c r="J108" i="1"/>
  <c r="R108" i="1" s="1"/>
  <c r="O109" i="1"/>
  <c r="I108" i="1"/>
  <c r="M109" i="1" l="1"/>
  <c r="F109" i="1"/>
  <c r="Q108" i="1"/>
  <c r="N109" i="1" l="1"/>
  <c r="K109" i="1"/>
  <c r="L109" i="1" s="1"/>
  <c r="J109" i="1" s="1"/>
  <c r="R109" i="1" s="1"/>
  <c r="S109" i="1"/>
  <c r="U109" i="1"/>
  <c r="T109" i="1"/>
  <c r="H109" i="1" l="1"/>
  <c r="P109" i="1" s="1"/>
  <c r="O110" i="1"/>
  <c r="I109" i="1"/>
  <c r="F110" i="1" l="1"/>
  <c r="M110" i="1"/>
  <c r="Q109" i="1"/>
  <c r="S110" i="1" l="1"/>
  <c r="U110" i="1"/>
  <c r="T110" i="1"/>
  <c r="K110" i="1"/>
  <c r="L110" i="1" s="1"/>
  <c r="H110" i="1" s="1"/>
  <c r="P110" i="1" s="1"/>
  <c r="N110" i="1"/>
  <c r="J110" i="1" l="1"/>
  <c r="R110" i="1" s="1"/>
  <c r="O111" i="1"/>
  <c r="I110" i="1"/>
  <c r="M111" i="1" l="1"/>
  <c r="F111" i="1"/>
  <c r="Q110" i="1"/>
  <c r="N111" i="1" l="1"/>
  <c r="K111" i="1"/>
  <c r="L111" i="1" s="1"/>
  <c r="I111" i="1" s="1"/>
  <c r="Q111" i="1" s="1"/>
  <c r="T111" i="1"/>
  <c r="J111" i="1"/>
  <c r="R111" i="1" s="1"/>
  <c r="S111" i="1"/>
  <c r="U111" i="1"/>
  <c r="O112" i="1" l="1"/>
  <c r="H111" i="1"/>
  <c r="M112" i="1" l="1"/>
  <c r="F112" i="1"/>
  <c r="P111" i="1"/>
  <c r="N112" i="1" l="1"/>
  <c r="K112" i="1"/>
  <c r="L112" i="1" s="1"/>
  <c r="U112" i="1"/>
  <c r="S112" i="1"/>
  <c r="H112" i="1"/>
  <c r="T112" i="1"/>
  <c r="I112" i="1"/>
  <c r="Q112" i="1" s="1"/>
  <c r="O113" i="1" l="1"/>
  <c r="J112" i="1"/>
  <c r="R112" i="1" s="1"/>
  <c r="P112" i="1"/>
  <c r="M113" i="1"/>
  <c r="N113" i="1" s="1"/>
  <c r="F113" i="1"/>
  <c r="T113" i="1" s="1"/>
  <c r="K113" i="1" l="1"/>
  <c r="L113" i="1" s="1"/>
  <c r="I113" i="1" s="1"/>
  <c r="Q113" i="1" s="1"/>
  <c r="U113" i="1"/>
  <c r="S113" i="1"/>
  <c r="J113" i="1" l="1"/>
  <c r="R113" i="1" s="1"/>
  <c r="H113" i="1"/>
  <c r="O114" i="1"/>
  <c r="P113" i="1" l="1"/>
  <c r="M114" i="1"/>
  <c r="F114" i="1"/>
  <c r="N114" i="1" l="1"/>
  <c r="K114" i="1"/>
  <c r="L114" i="1" s="1"/>
  <c r="S114" i="1"/>
  <c r="T114" i="1"/>
  <c r="U114" i="1"/>
  <c r="J114" i="1"/>
  <c r="R114" i="1" s="1"/>
  <c r="I114" i="1" l="1"/>
  <c r="Q114" i="1" s="1"/>
  <c r="O115" i="1"/>
  <c r="H114" i="1"/>
  <c r="M115" i="1" l="1"/>
  <c r="F115" i="1"/>
  <c r="P114" i="1"/>
  <c r="I115" i="1" l="1"/>
  <c r="Q115" i="1" s="1"/>
  <c r="T115" i="1"/>
  <c r="U115" i="1"/>
  <c r="S115" i="1"/>
  <c r="N115" i="1"/>
  <c r="K115" i="1"/>
  <c r="L115" i="1" s="1"/>
  <c r="H115" i="1" l="1"/>
  <c r="O116" i="1"/>
  <c r="J115" i="1"/>
  <c r="R115" i="1" s="1"/>
  <c r="P115" i="1" l="1"/>
  <c r="F116" i="1"/>
  <c r="M116" i="1"/>
  <c r="N116" i="1" l="1"/>
  <c r="K116" i="1"/>
  <c r="L116" i="1" s="1"/>
  <c r="O117" i="1" s="1"/>
  <c r="S116" i="1"/>
  <c r="I116" i="1"/>
  <c r="Q116" i="1" s="1"/>
  <c r="U116" i="1"/>
  <c r="H116" i="1"/>
  <c r="T116" i="1"/>
  <c r="J116" i="1"/>
  <c r="R116" i="1" s="1"/>
  <c r="P116" i="1" l="1"/>
  <c r="F117" i="1"/>
  <c r="M117" i="1"/>
  <c r="N117" i="1" l="1"/>
  <c r="K117" i="1"/>
  <c r="L117" i="1" s="1"/>
  <c r="U117" i="1"/>
  <c r="S117" i="1"/>
  <c r="I117" i="1"/>
  <c r="Q117" i="1" s="1"/>
  <c r="T117" i="1"/>
  <c r="J117" i="1"/>
  <c r="R117" i="1" s="1"/>
  <c r="H117" i="1" l="1"/>
  <c r="O118" i="1"/>
  <c r="P117" i="1" l="1"/>
  <c r="F118" i="1"/>
  <c r="M118" i="1"/>
  <c r="T118" i="1" l="1"/>
  <c r="U118" i="1"/>
  <c r="S118" i="1"/>
  <c r="N118" i="1"/>
  <c r="K118" i="1"/>
  <c r="L118" i="1" s="1"/>
  <c r="O119" i="1" s="1"/>
  <c r="I118" i="1" l="1"/>
  <c r="Q118" i="1" s="1"/>
  <c r="J118" i="1"/>
  <c r="R118" i="1" s="1"/>
  <c r="H118" i="1"/>
  <c r="P118" i="1" l="1"/>
  <c r="F119" i="1"/>
  <c r="M119" i="1"/>
  <c r="T119" i="1" l="1"/>
  <c r="U119" i="1"/>
  <c r="S119" i="1"/>
  <c r="N119" i="1"/>
  <c r="K119" i="1"/>
  <c r="L119" i="1" s="1"/>
  <c r="J119" i="1" s="1"/>
  <c r="R119" i="1" s="1"/>
  <c r="I119" i="1" l="1"/>
  <c r="Q119" i="1" s="1"/>
  <c r="O120" i="1"/>
  <c r="H119" i="1"/>
  <c r="P119" i="1" l="1"/>
  <c r="F120" i="1"/>
  <c r="M120" i="1"/>
  <c r="K120" i="1" l="1"/>
  <c r="L120" i="1" s="1"/>
  <c r="N120" i="1"/>
  <c r="J120" i="1"/>
  <c r="R120" i="1" s="1"/>
  <c r="S120" i="1"/>
  <c r="T120" i="1"/>
  <c r="U120" i="1"/>
  <c r="I120" i="1"/>
  <c r="Q120" i="1" l="1"/>
  <c r="H120" i="1"/>
  <c r="O121" i="1"/>
  <c r="P120" i="1" l="1"/>
  <c r="F121" i="1"/>
  <c r="M121" i="1"/>
  <c r="N121" i="1" l="1"/>
  <c r="K121" i="1"/>
  <c r="L121" i="1" s="1"/>
  <c r="S121" i="1"/>
  <c r="T121" i="1"/>
  <c r="I121" i="1"/>
  <c r="Q121" i="1" s="1"/>
  <c r="H121" i="1"/>
  <c r="U121" i="1"/>
  <c r="J121" i="1"/>
  <c r="R121" i="1" s="1"/>
  <c r="P121" i="1" l="1"/>
  <c r="F122" i="1"/>
  <c r="M122" i="1"/>
  <c r="O122" i="1"/>
  <c r="U122" i="1" l="1"/>
  <c r="T122" i="1"/>
  <c r="S122" i="1"/>
  <c r="K122" i="1"/>
  <c r="L122" i="1" s="1"/>
  <c r="J122" i="1" s="1"/>
  <c r="R122" i="1" s="1"/>
  <c r="N122" i="1"/>
  <c r="I122" i="1" l="1"/>
  <c r="Q122" i="1" s="1"/>
  <c r="O123" i="1"/>
  <c r="H122" i="1"/>
  <c r="P122" i="1" l="1"/>
  <c r="M123" i="1"/>
  <c r="F123" i="1"/>
  <c r="S123" i="1" l="1"/>
  <c r="U123" i="1"/>
  <c r="T123" i="1"/>
  <c r="N123" i="1"/>
  <c r="K123" i="1"/>
  <c r="L123" i="1" s="1"/>
  <c r="O124" i="1" s="1"/>
  <c r="I123" i="1" l="1"/>
  <c r="Q123" i="1" s="1"/>
  <c r="H123" i="1"/>
  <c r="P123" i="1"/>
  <c r="J123" i="1"/>
  <c r="R123" i="1" s="1"/>
  <c r="M124" i="1" l="1"/>
  <c r="F124" i="1"/>
  <c r="T124" i="1" l="1"/>
  <c r="S124" i="1"/>
  <c r="U124" i="1"/>
  <c r="N124" i="1"/>
  <c r="K124" i="1"/>
  <c r="L124" i="1" s="1"/>
  <c r="O125" i="1" s="1"/>
  <c r="I124" i="1" l="1"/>
  <c r="Q124" i="1" s="1"/>
  <c r="J124" i="1"/>
  <c r="R124" i="1" s="1"/>
  <c r="H124" i="1"/>
  <c r="P124" i="1"/>
  <c r="M125" i="1" l="1"/>
  <c r="K125" i="1" s="1"/>
  <c r="L125" i="1" s="1"/>
  <c r="O126" i="1" s="1"/>
  <c r="F125" i="1"/>
  <c r="S125" i="1" s="1"/>
  <c r="N125" i="1"/>
  <c r="J125" i="1" l="1"/>
  <c r="R125" i="1" s="1"/>
  <c r="I125" i="1"/>
  <c r="U125" i="1"/>
  <c r="T125" i="1"/>
  <c r="H125" i="1"/>
  <c r="F126" i="1"/>
  <c r="Q125" i="1"/>
  <c r="P125" i="1"/>
  <c r="M126" i="1"/>
  <c r="N126" i="1" l="1"/>
  <c r="K126" i="1"/>
  <c r="L126" i="1" s="1"/>
  <c r="H126" i="1" s="1"/>
  <c r="P126" i="1" s="1"/>
  <c r="U126" i="1"/>
  <c r="J126" i="1"/>
  <c r="R126" i="1" s="1"/>
  <c r="T126" i="1"/>
  <c r="S126" i="1"/>
  <c r="O127" i="1" l="1"/>
  <c r="I126" i="1"/>
  <c r="Q126" i="1" l="1"/>
  <c r="F127" i="1"/>
  <c r="M127" i="1"/>
  <c r="N127" i="1" l="1"/>
  <c r="K127" i="1"/>
  <c r="L127" i="1" s="1"/>
  <c r="I127" i="1" s="1"/>
  <c r="Q127" i="1" s="1"/>
  <c r="S127" i="1"/>
  <c r="T127" i="1"/>
  <c r="U127" i="1"/>
  <c r="J127" i="1"/>
  <c r="R127" i="1" s="1"/>
  <c r="H127" i="1" l="1"/>
  <c r="O128" i="1"/>
  <c r="P127" i="1" l="1"/>
  <c r="M128" i="1"/>
  <c r="F128" i="1"/>
  <c r="K128" i="1" l="1"/>
  <c r="L128" i="1" s="1"/>
  <c r="O129" i="1" s="1"/>
  <c r="N128" i="1"/>
  <c r="S128" i="1"/>
  <c r="U128" i="1"/>
  <c r="T128" i="1"/>
  <c r="H128" i="1"/>
  <c r="I128" i="1"/>
  <c r="Q128" i="1" s="1"/>
  <c r="J128" i="1" l="1"/>
  <c r="R128" i="1" s="1"/>
  <c r="M129" i="1"/>
  <c r="P128" i="1"/>
  <c r="F129" i="1" l="1"/>
  <c r="T129" i="1" s="1"/>
  <c r="K129" i="1"/>
  <c r="L129" i="1" s="1"/>
  <c r="N129" i="1"/>
  <c r="I129" i="1" l="1"/>
  <c r="Q129" i="1" s="1"/>
  <c r="H129" i="1"/>
  <c r="P129" i="1" s="1"/>
  <c r="U129" i="1"/>
  <c r="S129" i="1"/>
  <c r="J129" i="1"/>
  <c r="R129" i="1" s="1"/>
  <c r="O130" i="1"/>
  <c r="M130" i="1" l="1"/>
  <c r="F130" i="1"/>
  <c r="H130" i="1" l="1"/>
  <c r="U130" i="1"/>
  <c r="T130" i="1"/>
  <c r="S130" i="1"/>
  <c r="N130" i="1"/>
  <c r="K130" i="1"/>
  <c r="L130" i="1" s="1"/>
  <c r="O131" i="1" s="1"/>
  <c r="I130" i="1" l="1"/>
  <c r="Q130" i="1" s="1"/>
  <c r="J130" i="1"/>
  <c r="R130" i="1" s="1"/>
  <c r="P130" i="1"/>
  <c r="F131" i="1" l="1"/>
  <c r="I131" i="1" s="1"/>
  <c r="Q131" i="1" s="1"/>
  <c r="M131" i="1"/>
  <c r="N131" i="1" s="1"/>
  <c r="K131" i="1"/>
  <c r="L131" i="1" s="1"/>
  <c r="J131" i="1" l="1"/>
  <c r="R131" i="1" s="1"/>
  <c r="S131" i="1"/>
  <c r="T131" i="1"/>
  <c r="U131" i="1"/>
  <c r="H131" i="1"/>
  <c r="O132" i="1"/>
  <c r="P131" i="1" l="1"/>
  <c r="F132" i="1"/>
  <c r="M132" i="1"/>
  <c r="N132" i="1" l="1"/>
  <c r="K132" i="1"/>
  <c r="L132" i="1" s="1"/>
  <c r="I132" i="1" s="1"/>
  <c r="Q132" i="1" s="1"/>
  <c r="U132" i="1"/>
  <c r="S132" i="1"/>
  <c r="T132" i="1"/>
  <c r="J132" i="1" l="1"/>
  <c r="R132" i="1" s="1"/>
  <c r="H132" i="1"/>
  <c r="O133" i="1"/>
  <c r="P132" i="1" l="1"/>
  <c r="F133" i="1"/>
  <c r="M133" i="1"/>
  <c r="N133" i="1" l="1"/>
  <c r="K133" i="1"/>
  <c r="L133" i="1" s="1"/>
  <c r="T133" i="1"/>
  <c r="H133" i="1"/>
  <c r="U133" i="1"/>
  <c r="S133" i="1"/>
  <c r="J133" i="1"/>
  <c r="R133" i="1" s="1"/>
  <c r="I133" i="1"/>
  <c r="Q133" i="1" s="1"/>
  <c r="P133" i="1" l="1"/>
  <c r="M134" i="1"/>
  <c r="F134" i="1"/>
  <c r="O134" i="1"/>
  <c r="U134" i="1" l="1"/>
  <c r="T134" i="1"/>
  <c r="S134" i="1"/>
  <c r="K134" i="1"/>
  <c r="L134" i="1" s="1"/>
  <c r="J134" i="1" s="1"/>
  <c r="R134" i="1" s="1"/>
  <c r="N134" i="1"/>
  <c r="H134" i="1" l="1"/>
  <c r="I134" i="1"/>
  <c r="Q134" i="1" s="1"/>
  <c r="O135" i="1"/>
  <c r="M135" i="1"/>
  <c r="P134" i="1"/>
  <c r="F135" i="1"/>
  <c r="T135" i="1" l="1"/>
  <c r="S135" i="1"/>
  <c r="U135" i="1"/>
  <c r="N135" i="1"/>
  <c r="K135" i="1"/>
  <c r="L135" i="1" s="1"/>
  <c r="I135" i="1" s="1"/>
  <c r="Q135" i="1" s="1"/>
  <c r="J135" i="1" l="1"/>
  <c r="R135" i="1" s="1"/>
  <c r="O136" i="1"/>
  <c r="H135" i="1"/>
  <c r="M136" i="1" l="1"/>
  <c r="F136" i="1"/>
  <c r="P135" i="1"/>
  <c r="T136" i="1" l="1"/>
  <c r="S136" i="1"/>
  <c r="U136" i="1"/>
  <c r="K136" i="1"/>
  <c r="L136" i="1" s="1"/>
  <c r="O137" i="1" s="1"/>
  <c r="N136" i="1"/>
  <c r="H136" i="1" l="1"/>
  <c r="I136" i="1"/>
  <c r="Q136" i="1" s="1"/>
  <c r="J136" i="1"/>
  <c r="R136" i="1" s="1"/>
  <c r="P136" i="1"/>
  <c r="M137" i="1"/>
  <c r="F137" i="1"/>
  <c r="U137" i="1" l="1"/>
  <c r="S137" i="1"/>
  <c r="T137" i="1"/>
  <c r="K137" i="1"/>
  <c r="L137" i="1" s="1"/>
  <c r="H137" i="1" s="1"/>
  <c r="P137" i="1" s="1"/>
  <c r="N137" i="1"/>
  <c r="J137" i="1" l="1"/>
  <c r="R137" i="1" s="1"/>
  <c r="O138" i="1"/>
  <c r="I137" i="1"/>
  <c r="Q137" i="1" l="1"/>
  <c r="M138" i="1"/>
  <c r="F138" i="1"/>
  <c r="K138" i="1" l="1"/>
  <c r="L138" i="1" s="1"/>
  <c r="J138" i="1" s="1"/>
  <c r="R138" i="1" s="1"/>
  <c r="N138" i="1"/>
  <c r="H138" i="1"/>
  <c r="P138" i="1" s="1"/>
  <c r="S138" i="1"/>
  <c r="T138" i="1"/>
  <c r="U138" i="1"/>
  <c r="I138" i="1" l="1"/>
  <c r="O139" i="1"/>
  <c r="Q138" i="1" l="1"/>
  <c r="M139" i="1"/>
  <c r="F139" i="1"/>
  <c r="N139" i="1" l="1"/>
  <c r="K139" i="1"/>
  <c r="L139" i="1" s="1"/>
  <c r="J139" i="1" s="1"/>
  <c r="R139" i="1" s="1"/>
  <c r="T139" i="1"/>
  <c r="U139" i="1"/>
  <c r="S139" i="1"/>
  <c r="I139" i="1"/>
  <c r="Q139" i="1" s="1"/>
  <c r="H139" i="1" l="1"/>
  <c r="O140" i="1"/>
  <c r="P139" i="1" l="1"/>
  <c r="M140" i="1"/>
  <c r="F140" i="1"/>
  <c r="N140" i="1" l="1"/>
  <c r="K140" i="1"/>
  <c r="L140" i="1" s="1"/>
  <c r="O141" i="1" s="1"/>
  <c r="T140" i="1"/>
  <c r="I140" i="1"/>
  <c r="Q140" i="1" s="1"/>
  <c r="U140" i="1"/>
  <c r="S140" i="1"/>
  <c r="H140" i="1"/>
  <c r="J140" i="1"/>
  <c r="R140" i="1" s="1"/>
  <c r="P140" i="1" l="1"/>
  <c r="M141" i="1"/>
  <c r="F141" i="1"/>
  <c r="N141" i="1" l="1"/>
  <c r="K141" i="1"/>
  <c r="L141" i="1" s="1"/>
  <c r="O142" i="1" s="1"/>
  <c r="S141" i="1"/>
  <c r="J141" i="1"/>
  <c r="R141" i="1" s="1"/>
  <c r="T141" i="1"/>
  <c r="U141" i="1"/>
  <c r="I141" i="1" l="1"/>
  <c r="Q141" i="1" s="1"/>
  <c r="H141" i="1"/>
  <c r="P141" i="1" s="1"/>
  <c r="M142" i="1" l="1"/>
  <c r="F142" i="1"/>
  <c r="U142" i="1" s="1"/>
  <c r="N142" i="1"/>
  <c r="K142" i="1"/>
  <c r="L142" i="1" s="1"/>
  <c r="T142" i="1"/>
  <c r="S142" i="1"/>
  <c r="I142" i="1" l="1"/>
  <c r="Q142" i="1" s="1"/>
  <c r="J142" i="1"/>
  <c r="R142" i="1" s="1"/>
  <c r="O143" i="1"/>
  <c r="H142" i="1"/>
  <c r="M143" i="1" l="1"/>
  <c r="P142" i="1"/>
  <c r="F143" i="1"/>
  <c r="T143" i="1" l="1"/>
  <c r="S143" i="1"/>
  <c r="U143" i="1"/>
  <c r="N143" i="1"/>
  <c r="K143" i="1"/>
  <c r="L143" i="1" s="1"/>
  <c r="H143" i="1" s="1"/>
  <c r="J143" i="1" l="1"/>
  <c r="R143" i="1" s="1"/>
  <c r="I143" i="1"/>
  <c r="Q143" i="1" s="1"/>
  <c r="O144" i="1"/>
  <c r="P143" i="1"/>
  <c r="F144" i="1"/>
  <c r="M144" i="1"/>
  <c r="S144" i="1" l="1"/>
  <c r="U144" i="1"/>
  <c r="T144" i="1"/>
  <c r="K144" i="1"/>
  <c r="L144" i="1" s="1"/>
  <c r="I144" i="1" s="1"/>
  <c r="Q144" i="1" s="1"/>
  <c r="N144" i="1"/>
  <c r="J144" i="1" l="1"/>
  <c r="R144" i="1" s="1"/>
  <c r="O145" i="1"/>
  <c r="H144" i="1"/>
  <c r="P144" i="1" l="1"/>
  <c r="M145" i="1"/>
  <c r="F145" i="1"/>
  <c r="T145" i="1" l="1"/>
  <c r="U145" i="1"/>
  <c r="S145" i="1"/>
  <c r="N145" i="1"/>
  <c r="K145" i="1"/>
  <c r="L145" i="1" s="1"/>
  <c r="H145" i="1" s="1"/>
  <c r="I145" i="1" l="1"/>
  <c r="Q145" i="1" s="1"/>
  <c r="O146" i="1"/>
  <c r="P145" i="1"/>
  <c r="J145" i="1"/>
  <c r="R145" i="1" s="1"/>
  <c r="F146" i="1" l="1"/>
  <c r="S146" i="1" s="1"/>
  <c r="M146" i="1"/>
  <c r="T146" i="1" l="1"/>
  <c r="U146" i="1"/>
  <c r="K146" i="1"/>
  <c r="L146" i="1" s="1"/>
  <c r="H146" i="1" s="1"/>
  <c r="N146" i="1"/>
  <c r="P146" i="1"/>
  <c r="J146" i="1" l="1"/>
  <c r="R146" i="1" s="1"/>
  <c r="O147" i="1"/>
  <c r="I146" i="1"/>
  <c r="Q146" i="1" l="1"/>
  <c r="F147" i="1"/>
  <c r="M147" i="1"/>
  <c r="S147" i="1" l="1"/>
  <c r="T147" i="1"/>
  <c r="U147" i="1"/>
  <c r="K147" i="1"/>
  <c r="L147" i="1" s="1"/>
  <c r="O148" i="1" s="1"/>
  <c r="N147" i="1"/>
  <c r="I147" i="1" l="1"/>
  <c r="J147" i="1"/>
  <c r="R147" i="1" s="1"/>
  <c r="H147" i="1"/>
  <c r="F148" i="1" s="1"/>
  <c r="Q147" i="1"/>
  <c r="S148" i="1" l="1"/>
  <c r="U148" i="1"/>
  <c r="T148" i="1"/>
  <c r="P147" i="1"/>
  <c r="M148" i="1"/>
  <c r="N148" i="1" l="1"/>
  <c r="K148" i="1"/>
  <c r="L148" i="1" s="1"/>
  <c r="J148" i="1" s="1"/>
  <c r="R148" i="1" s="1"/>
  <c r="H148" i="1" l="1"/>
  <c r="O149" i="1"/>
  <c r="I148" i="1"/>
  <c r="Q148" i="1" s="1"/>
  <c r="P148" i="1" l="1"/>
  <c r="M149" i="1"/>
  <c r="F149" i="1"/>
  <c r="N149" i="1" l="1"/>
  <c r="K149" i="1"/>
  <c r="L149" i="1" s="1"/>
  <c r="J149" i="1"/>
  <c r="R149" i="1" s="1"/>
  <c r="U149" i="1"/>
  <c r="S149" i="1"/>
  <c r="T149" i="1"/>
  <c r="I149" i="1"/>
  <c r="Q149" i="1" s="1"/>
  <c r="H149" i="1" l="1"/>
  <c r="O150" i="1"/>
  <c r="P149" i="1" l="1"/>
  <c r="F150" i="1"/>
  <c r="M150" i="1"/>
  <c r="T150" i="1" l="1"/>
  <c r="U150" i="1"/>
  <c r="S150" i="1"/>
  <c r="N150" i="1"/>
  <c r="K150" i="1"/>
  <c r="L150" i="1" s="1"/>
  <c r="I150" i="1" s="1"/>
  <c r="Q150" i="1" s="1"/>
  <c r="H150" i="1" l="1"/>
  <c r="P150" i="1"/>
  <c r="J150" i="1"/>
  <c r="R150" i="1" s="1"/>
  <c r="O151" i="1"/>
  <c r="M151" i="1" l="1"/>
  <c r="F151" i="1"/>
  <c r="U151" i="1" l="1"/>
  <c r="S151" i="1"/>
  <c r="T151" i="1"/>
  <c r="N151" i="1"/>
  <c r="K151" i="1"/>
  <c r="L151" i="1" s="1"/>
  <c r="J151" i="1" s="1"/>
  <c r="R151" i="1" s="1"/>
  <c r="H151" i="1" l="1"/>
  <c r="I151" i="1"/>
  <c r="Q151" i="1" s="1"/>
  <c r="O152" i="1"/>
  <c r="P151" i="1"/>
  <c r="M152" i="1"/>
  <c r="F152" i="1"/>
  <c r="T152" i="1" l="1"/>
  <c r="S152" i="1"/>
  <c r="U152" i="1"/>
  <c r="N152" i="1"/>
  <c r="K152" i="1"/>
  <c r="L152" i="1" s="1"/>
  <c r="I152" i="1" s="1"/>
  <c r="Q152" i="1" s="1"/>
  <c r="J152" i="1" l="1"/>
  <c r="R152" i="1" s="1"/>
  <c r="H152" i="1"/>
  <c r="O153" i="1"/>
  <c r="P152" i="1" l="1"/>
  <c r="M153" i="1"/>
  <c r="F153" i="1"/>
  <c r="T153" i="1" l="1"/>
  <c r="U153" i="1"/>
  <c r="S153" i="1"/>
  <c r="N153" i="1"/>
  <c r="K153" i="1"/>
  <c r="L153" i="1" s="1"/>
  <c r="H153" i="1" s="1"/>
  <c r="I153" i="1" l="1"/>
  <c r="Q153" i="1" s="1"/>
  <c r="J153" i="1"/>
  <c r="R153" i="1" s="1"/>
  <c r="O154" i="1"/>
  <c r="M154" i="1"/>
  <c r="P153" i="1"/>
  <c r="F154" i="1" l="1"/>
  <c r="N154" i="1"/>
  <c r="K154" i="1"/>
  <c r="L154" i="1" s="1"/>
  <c r="O3" i="5"/>
  <c r="L3" i="5"/>
  <c r="M3" i="5" s="1"/>
  <c r="H3" i="5" s="1"/>
  <c r="J154" i="1" l="1"/>
  <c r="R154" i="1" s="1"/>
  <c r="I154" i="1"/>
  <c r="Q154" i="1" s="1"/>
  <c r="U154" i="1"/>
  <c r="S154" i="1"/>
  <c r="T154" i="1"/>
  <c r="H154" i="1"/>
  <c r="O155" i="1"/>
  <c r="Q3" i="5"/>
  <c r="I3" i="5"/>
  <c r="R3" i="5" s="1"/>
  <c r="P4" i="5"/>
  <c r="P154" i="1" l="1"/>
  <c r="M155" i="1"/>
  <c r="F155" i="1"/>
  <c r="F4" i="5"/>
  <c r="W4" i="5" s="1"/>
  <c r="N4" i="5"/>
  <c r="T155" i="1" l="1"/>
  <c r="S155" i="1"/>
  <c r="U155" i="1"/>
  <c r="N155" i="1"/>
  <c r="K155" i="1"/>
  <c r="L155" i="1" s="1"/>
  <c r="O156" i="1" s="1"/>
  <c r="X4" i="5"/>
  <c r="K4" i="5"/>
  <c r="T4" i="5" s="1"/>
  <c r="U4" i="5"/>
  <c r="V4" i="5"/>
  <c r="O4" i="5"/>
  <c r="L4" i="5"/>
  <c r="M4" i="5" s="1"/>
  <c r="H4" i="5" s="1"/>
  <c r="Q4" i="5" s="1"/>
  <c r="H155" i="1" l="1"/>
  <c r="I155" i="1"/>
  <c r="Q155" i="1" s="1"/>
  <c r="P155" i="1"/>
  <c r="J155" i="1"/>
  <c r="R155" i="1" s="1"/>
  <c r="I4" i="5"/>
  <c r="R4" i="5" s="1"/>
  <c r="P5" i="5"/>
  <c r="J4" i="5"/>
  <c r="F156" i="1" l="1"/>
  <c r="M156" i="1"/>
  <c r="S4" i="5"/>
  <c r="N5" i="5"/>
  <c r="F5" i="5"/>
  <c r="N156" i="1" l="1"/>
  <c r="K156" i="1"/>
  <c r="L156" i="1" s="1"/>
  <c r="O157" i="1" s="1"/>
  <c r="S156" i="1"/>
  <c r="J156" i="1"/>
  <c r="R156" i="1" s="1"/>
  <c r="H156" i="1"/>
  <c r="T156" i="1"/>
  <c r="U156" i="1"/>
  <c r="I156" i="1"/>
  <c r="L5" i="5"/>
  <c r="M5" i="5" s="1"/>
  <c r="I5" i="5" s="1"/>
  <c r="R5" i="5" s="1"/>
  <c r="O5" i="5"/>
  <c r="X5" i="5"/>
  <c r="W5" i="5"/>
  <c r="V5" i="5"/>
  <c r="U5" i="5"/>
  <c r="H5" i="5" l="1"/>
  <c r="P156" i="1"/>
  <c r="M157" i="1"/>
  <c r="F157" i="1"/>
  <c r="Q156" i="1"/>
  <c r="K5" i="5"/>
  <c r="J5" i="5"/>
  <c r="Q5" i="5"/>
  <c r="P6" i="5"/>
  <c r="U157" i="1" l="1"/>
  <c r="S157" i="1"/>
  <c r="T157" i="1"/>
  <c r="K157" i="1"/>
  <c r="L157" i="1" s="1"/>
  <c r="H157" i="1" s="1"/>
  <c r="N157" i="1"/>
  <c r="T5" i="5"/>
  <c r="F6" i="5"/>
  <c r="S5" i="5"/>
  <c r="N6" i="5"/>
  <c r="J157" i="1" l="1"/>
  <c r="R157" i="1" s="1"/>
  <c r="I157" i="1"/>
  <c r="Q157" i="1" s="1"/>
  <c r="O158" i="1"/>
  <c r="P157" i="1"/>
  <c r="F158" i="1"/>
  <c r="X6" i="5"/>
  <c r="U6" i="5"/>
  <c r="W6" i="5"/>
  <c r="V6" i="5"/>
  <c r="L6" i="5"/>
  <c r="M6" i="5" s="1"/>
  <c r="O6" i="5"/>
  <c r="J6" i="5"/>
  <c r="S6" i="5" s="1"/>
  <c r="M158" i="1" l="1"/>
  <c r="U158" i="1"/>
  <c r="S158" i="1"/>
  <c r="T158" i="1"/>
  <c r="N158" i="1"/>
  <c r="K158" i="1"/>
  <c r="L158" i="1" s="1"/>
  <c r="H158" i="1" s="1"/>
  <c r="I6" i="5"/>
  <c r="R6" i="5" s="1"/>
  <c r="P7" i="5"/>
  <c r="H6" i="5"/>
  <c r="K6" i="5"/>
  <c r="I158" i="1" l="1"/>
  <c r="Q158" i="1" s="1"/>
  <c r="O159" i="1"/>
  <c r="J158" i="1"/>
  <c r="R158" i="1" s="1"/>
  <c r="P158" i="1"/>
  <c r="Q6" i="5"/>
  <c r="N7" i="5"/>
  <c r="T6" i="5"/>
  <c r="F7" i="5"/>
  <c r="M159" i="1" l="1"/>
  <c r="F159" i="1"/>
  <c r="U159" i="1" s="1"/>
  <c r="K159" i="1"/>
  <c r="L159" i="1" s="1"/>
  <c r="N159" i="1"/>
  <c r="O7" i="5"/>
  <c r="L7" i="5"/>
  <c r="M7" i="5" s="1"/>
  <c r="I7" i="5" s="1"/>
  <c r="R7" i="5" s="1"/>
  <c r="W7" i="5"/>
  <c r="U7" i="5"/>
  <c r="V7" i="5"/>
  <c r="X7" i="5"/>
  <c r="T159" i="1" l="1"/>
  <c r="S159" i="1"/>
  <c r="J159" i="1"/>
  <c r="R159" i="1" s="1"/>
  <c r="I159" i="1"/>
  <c r="Q159" i="1" s="1"/>
  <c r="H159" i="1"/>
  <c r="O160" i="1"/>
  <c r="H7" i="5"/>
  <c r="Q7" i="5" s="1"/>
  <c r="K7" i="5"/>
  <c r="T7" i="5" s="1"/>
  <c r="P8" i="5"/>
  <c r="J7" i="5"/>
  <c r="P159" i="1" l="1"/>
  <c r="M160" i="1"/>
  <c r="F160" i="1"/>
  <c r="F8" i="5"/>
  <c r="S7" i="5"/>
  <c r="N8" i="5"/>
  <c r="K160" i="1" l="1"/>
  <c r="L160" i="1" s="1"/>
  <c r="N160" i="1"/>
  <c r="T160" i="1"/>
  <c r="U160" i="1"/>
  <c r="J160" i="1"/>
  <c r="R160" i="1" s="1"/>
  <c r="I160" i="1"/>
  <c r="Q160" i="1" s="1"/>
  <c r="S160" i="1"/>
  <c r="U8" i="5"/>
  <c r="W8" i="5"/>
  <c r="X8" i="5"/>
  <c r="V8" i="5"/>
  <c r="L8" i="5"/>
  <c r="M8" i="5" s="1"/>
  <c r="O8" i="5"/>
  <c r="O161" i="1" l="1"/>
  <c r="B4" i="9" s="1"/>
  <c r="H160" i="1"/>
  <c r="K8" i="5"/>
  <c r="T8" i="5" s="1"/>
  <c r="I8" i="5"/>
  <c r="R8" i="5" s="1"/>
  <c r="H8" i="5"/>
  <c r="P9" i="5"/>
  <c r="J8" i="5"/>
  <c r="S8" i="5" s="1"/>
  <c r="F161" i="1" l="1"/>
  <c r="M161" i="1"/>
  <c r="P160" i="1"/>
  <c r="F9" i="5"/>
  <c r="N9" i="5"/>
  <c r="Q8" i="5"/>
  <c r="B3" i="9" l="1"/>
  <c r="N161" i="1"/>
  <c r="N162" i="1" s="1"/>
  <c r="N163" i="1" s="1"/>
  <c r="M162" i="1"/>
  <c r="M164" i="1"/>
  <c r="K161" i="1"/>
  <c r="L161" i="1" s="1"/>
  <c r="I161" i="1" s="1"/>
  <c r="Q161" i="1" s="1"/>
  <c r="B2" i="9"/>
  <c r="B2" i="8" s="1"/>
  <c r="H161" i="1"/>
  <c r="P161" i="1" s="1"/>
  <c r="U161" i="1"/>
  <c r="U162" i="1" s="1"/>
  <c r="T161" i="1"/>
  <c r="T162" i="1" s="1"/>
  <c r="S161" i="1"/>
  <c r="J161" i="1"/>
  <c r="R161" i="1" s="1"/>
  <c r="V9" i="5"/>
  <c r="W9" i="5"/>
  <c r="U9" i="5"/>
  <c r="X9" i="5"/>
  <c r="O9" i="5"/>
  <c r="L9" i="5"/>
  <c r="M9" i="5" s="1"/>
  <c r="K9" i="5" s="1"/>
  <c r="T9" i="5" s="1"/>
  <c r="S162" i="1" l="1"/>
  <c r="B5" i="9"/>
  <c r="M163" i="1"/>
  <c r="U163" i="1"/>
  <c r="U165" i="1"/>
  <c r="T163" i="1"/>
  <c r="T165" i="1"/>
  <c r="I9" i="5"/>
  <c r="J9" i="5"/>
  <c r="S9" i="5" s="1"/>
  <c r="P10" i="5"/>
  <c r="H9" i="5"/>
  <c r="S163" i="1" l="1"/>
  <c r="S165" i="1"/>
  <c r="R9" i="5"/>
  <c r="F10" i="5"/>
  <c r="N10" i="5"/>
  <c r="Q9" i="5"/>
  <c r="U10" i="5" l="1"/>
  <c r="W10" i="5"/>
  <c r="V10" i="5"/>
  <c r="X10" i="5"/>
  <c r="L10" i="5"/>
  <c r="M10" i="5" s="1"/>
  <c r="O10" i="5"/>
  <c r="H10" i="5" l="1"/>
  <c r="J10" i="5"/>
  <c r="S10" i="5" s="1"/>
  <c r="I10" i="5"/>
  <c r="R10" i="5" s="1"/>
  <c r="P11" i="5"/>
  <c r="K10" i="5"/>
  <c r="Q10" i="5" l="1"/>
  <c r="N11" i="5"/>
  <c r="F11" i="5"/>
  <c r="T10" i="5"/>
  <c r="O11" i="5" l="1"/>
  <c r="L11" i="5"/>
  <c r="M11" i="5" s="1"/>
  <c r="H11" i="5" s="1"/>
  <c r="Q11" i="5" s="1"/>
  <c r="V11" i="5"/>
  <c r="X11" i="5"/>
  <c r="W11" i="5"/>
  <c r="U11" i="5"/>
  <c r="I11" i="5"/>
  <c r="J11" i="5"/>
  <c r="S11" i="5" s="1"/>
  <c r="P12" i="5" l="1"/>
  <c r="K11" i="5"/>
  <c r="R11" i="5"/>
  <c r="N12" i="5"/>
  <c r="T11" i="5" l="1"/>
  <c r="F12" i="5"/>
  <c r="O12" i="5"/>
  <c r="L12" i="5"/>
  <c r="M12" i="5" s="1"/>
  <c r="V12" i="5" l="1"/>
  <c r="X12" i="5"/>
  <c r="W12" i="5"/>
  <c r="J12" i="5"/>
  <c r="S12" i="5" s="1"/>
  <c r="U12" i="5"/>
  <c r="H12" i="5"/>
  <c r="Q12" i="5" s="1"/>
  <c r="I12" i="5"/>
  <c r="P13" i="5"/>
  <c r="K12" i="5"/>
  <c r="R12" i="5" l="1"/>
  <c r="N13" i="5"/>
  <c r="T12" i="5"/>
  <c r="F13" i="5"/>
  <c r="O13" i="5" l="1"/>
  <c r="L13" i="5"/>
  <c r="M13" i="5" s="1"/>
  <c r="X13" i="5"/>
  <c r="W13" i="5"/>
  <c r="V13" i="5"/>
  <c r="U13" i="5"/>
  <c r="I13" i="5"/>
  <c r="R13" i="5" s="1"/>
  <c r="J13" i="5" l="1"/>
  <c r="S13" i="5" s="1"/>
  <c r="K13" i="5"/>
  <c r="T13" i="5" s="1"/>
  <c r="H13" i="5"/>
  <c r="P14" i="5"/>
  <c r="F14" i="5" l="1"/>
  <c r="U14" i="5" s="1"/>
  <c r="Q13" i="5"/>
  <c r="N14" i="5"/>
  <c r="X14" i="5" l="1"/>
  <c r="V14" i="5"/>
  <c r="W14" i="5"/>
  <c r="O14" i="5"/>
  <c r="L14" i="5"/>
  <c r="M14" i="5" s="1"/>
  <c r="H14" i="5" s="1"/>
  <c r="Q14" i="5" s="1"/>
  <c r="I14" i="5" l="1"/>
  <c r="R14" i="5" s="1"/>
  <c r="J14" i="5"/>
  <c r="P15" i="5"/>
  <c r="K14" i="5"/>
  <c r="T14" i="5" s="1"/>
  <c r="N15" i="5" l="1"/>
  <c r="S14" i="5"/>
  <c r="F15" i="5"/>
  <c r="L15" i="5" l="1"/>
  <c r="M15" i="5" s="1"/>
  <c r="O15" i="5"/>
  <c r="W15" i="5"/>
  <c r="X15" i="5"/>
  <c r="U15" i="5"/>
  <c r="V15" i="5"/>
  <c r="J15" i="5" l="1"/>
  <c r="S15" i="5" s="1"/>
  <c r="H15" i="5"/>
  <c r="Q15" i="5" s="1"/>
  <c r="P16" i="5"/>
  <c r="I15" i="5"/>
  <c r="K15" i="5"/>
  <c r="T15" i="5" s="1"/>
  <c r="F16" i="5" l="1"/>
  <c r="R15" i="5"/>
  <c r="N16" i="5"/>
  <c r="W16" i="5" l="1"/>
  <c r="K16" i="5"/>
  <c r="T16" i="5" s="1"/>
  <c r="X16" i="5"/>
  <c r="U16" i="5"/>
  <c r="V16" i="5"/>
  <c r="L16" i="5"/>
  <c r="M16" i="5" s="1"/>
  <c r="O16" i="5"/>
  <c r="I16" i="5" l="1"/>
  <c r="R16" i="5" s="1"/>
  <c r="J16" i="5"/>
  <c r="S16" i="5" s="1"/>
  <c r="H16" i="5"/>
  <c r="P17" i="5"/>
  <c r="N17" i="5" l="1"/>
  <c r="F17" i="5"/>
  <c r="Q16" i="5"/>
  <c r="O17" i="5" l="1"/>
  <c r="L17" i="5"/>
  <c r="M17" i="5" s="1"/>
  <c r="H17" i="5" s="1"/>
  <c r="J17" i="5"/>
  <c r="S17" i="5" s="1"/>
  <c r="W17" i="5"/>
  <c r="V17" i="5"/>
  <c r="X17" i="5"/>
  <c r="U17" i="5"/>
  <c r="K17" i="5"/>
  <c r="T17" i="5" s="1"/>
  <c r="Q17" i="5" l="1"/>
  <c r="P18" i="5"/>
  <c r="I17" i="5"/>
  <c r="R17" i="5" l="1"/>
  <c r="N18" i="5"/>
  <c r="F18" i="5"/>
  <c r="O18" i="5" l="1"/>
  <c r="L18" i="5"/>
  <c r="M18" i="5" s="1"/>
  <c r="K18" i="5" s="1"/>
  <c r="T18" i="5" s="1"/>
  <c r="W18" i="5"/>
  <c r="U18" i="5"/>
  <c r="V18" i="5"/>
  <c r="X18" i="5"/>
  <c r="I18" i="5" l="1"/>
  <c r="R18" i="5" s="1"/>
  <c r="J18" i="5"/>
  <c r="S18" i="5" s="1"/>
  <c r="P19" i="5"/>
  <c r="H18" i="5"/>
  <c r="F19" i="5" l="1"/>
  <c r="Q18" i="5"/>
  <c r="N19" i="5"/>
  <c r="U19" i="5" l="1"/>
  <c r="W19" i="5"/>
  <c r="V19" i="5"/>
  <c r="X19" i="5"/>
  <c r="K19" i="5"/>
  <c r="T19" i="5" s="1"/>
  <c r="L19" i="5"/>
  <c r="M19" i="5" s="1"/>
  <c r="H19" i="5" s="1"/>
  <c r="O19" i="5"/>
  <c r="I19" i="5" l="1"/>
  <c r="J19" i="5"/>
  <c r="S19" i="5" s="1"/>
  <c r="Q19" i="5"/>
  <c r="P20" i="5"/>
  <c r="N20" i="5" l="1"/>
  <c r="R19" i="5"/>
  <c r="F20" i="5"/>
  <c r="L20" i="5" l="1"/>
  <c r="M20" i="5" s="1"/>
  <c r="I20" i="5" s="1"/>
  <c r="R20" i="5" s="1"/>
  <c r="O20" i="5"/>
  <c r="V20" i="5"/>
  <c r="J20" i="5"/>
  <c r="S20" i="5" s="1"/>
  <c r="X20" i="5"/>
  <c r="W20" i="5"/>
  <c r="U20" i="5"/>
  <c r="K20" i="5"/>
  <c r="T20" i="5" s="1"/>
  <c r="P21" i="5"/>
  <c r="H20" i="5"/>
  <c r="F21" i="5" l="1"/>
  <c r="N21" i="5"/>
  <c r="Q20" i="5"/>
  <c r="U21" i="5" l="1"/>
  <c r="X21" i="5"/>
  <c r="W21" i="5"/>
  <c r="V21" i="5"/>
  <c r="O21" i="5"/>
  <c r="L21" i="5"/>
  <c r="M21" i="5" s="1"/>
  <c r="J21" i="5" s="1"/>
  <c r="S21" i="5" s="1"/>
  <c r="I21" i="5" l="1"/>
  <c r="R21" i="5" s="1"/>
  <c r="K21" i="5"/>
  <c r="T21" i="5" s="1"/>
  <c r="P22" i="5"/>
  <c r="H21" i="5"/>
  <c r="F22" i="5" l="1"/>
  <c r="N22" i="5"/>
  <c r="Q21" i="5"/>
  <c r="V22" i="5" l="1"/>
  <c r="U22" i="5"/>
  <c r="X22" i="5"/>
  <c r="W22" i="5"/>
  <c r="O22" i="5"/>
  <c r="L22" i="5"/>
  <c r="M22" i="5" s="1"/>
  <c r="J22" i="5" s="1"/>
  <c r="S22" i="5" s="1"/>
  <c r="K22" i="5" l="1"/>
  <c r="T22" i="5" s="1"/>
  <c r="H22" i="5"/>
  <c r="Q22" i="5" s="1"/>
  <c r="P23" i="5"/>
  <c r="I22" i="5"/>
  <c r="R22" i="5" l="1"/>
  <c r="N23" i="5"/>
  <c r="F23" i="5"/>
  <c r="O23" i="5" l="1"/>
  <c r="L23" i="5"/>
  <c r="M23" i="5" s="1"/>
  <c r="J23" i="5"/>
  <c r="S23" i="5" s="1"/>
  <c r="X23" i="5"/>
  <c r="W23" i="5"/>
  <c r="V23" i="5"/>
  <c r="U23" i="5"/>
  <c r="H23" i="5" l="1"/>
  <c r="I23" i="5"/>
  <c r="R23" i="5" s="1"/>
  <c r="N24" i="5"/>
  <c r="Q23" i="5"/>
  <c r="P24" i="5"/>
  <c r="K23" i="5"/>
  <c r="L24" i="5" l="1"/>
  <c r="M24" i="5" s="1"/>
  <c r="O24" i="5"/>
  <c r="T23" i="5"/>
  <c r="F24" i="5"/>
  <c r="P25" i="5" l="1"/>
  <c r="J24" i="5"/>
  <c r="S24" i="5" s="1"/>
  <c r="H24" i="5"/>
  <c r="V24" i="5"/>
  <c r="W24" i="5"/>
  <c r="I24" i="5"/>
  <c r="R24" i="5" s="1"/>
  <c r="U24" i="5"/>
  <c r="X24" i="5"/>
  <c r="K24" i="5"/>
  <c r="T24" i="5" s="1"/>
  <c r="F25" i="5" l="1"/>
  <c r="N25" i="5"/>
  <c r="Q24" i="5"/>
  <c r="W25" i="5" l="1"/>
  <c r="V25" i="5"/>
  <c r="U25" i="5"/>
  <c r="X25" i="5"/>
  <c r="O25" i="5"/>
  <c r="L25" i="5"/>
  <c r="M25" i="5" s="1"/>
  <c r="J25" i="5" s="1"/>
  <c r="S25" i="5" s="1"/>
  <c r="I25" i="5" l="1"/>
  <c r="R25" i="5" s="1"/>
  <c r="K25" i="5"/>
  <c r="T25" i="5" s="1"/>
  <c r="H25" i="5"/>
  <c r="P26" i="5"/>
  <c r="F26" i="5" l="1"/>
  <c r="Q25" i="5"/>
  <c r="N26" i="5"/>
  <c r="V26" i="5" l="1"/>
  <c r="W26" i="5"/>
  <c r="U26" i="5"/>
  <c r="K26" i="5"/>
  <c r="T26" i="5" s="1"/>
  <c r="X26" i="5"/>
  <c r="O26" i="5"/>
  <c r="L26" i="5"/>
  <c r="M26" i="5" s="1"/>
  <c r="H26" i="5" s="1"/>
  <c r="P27" i="5"/>
  <c r="J26" i="5" l="1"/>
  <c r="S26" i="5" s="1"/>
  <c r="I26" i="5"/>
  <c r="R26" i="5" s="1"/>
  <c r="N27" i="5"/>
  <c r="F27" i="5"/>
  <c r="Q26" i="5"/>
  <c r="L27" i="5" l="1"/>
  <c r="M27" i="5" s="1"/>
  <c r="H27" i="5" s="1"/>
  <c r="O27" i="5"/>
  <c r="J27" i="5"/>
  <c r="S27" i="5" s="1"/>
  <c r="K27" i="5"/>
  <c r="T27" i="5" s="1"/>
  <c r="X27" i="5"/>
  <c r="V27" i="5"/>
  <c r="W27" i="5"/>
  <c r="U27" i="5"/>
  <c r="Q27" i="5" l="1"/>
  <c r="P28" i="5"/>
  <c r="I27" i="5"/>
  <c r="R27" i="5" l="1"/>
  <c r="N28" i="5"/>
  <c r="F28" i="5"/>
  <c r="O28" i="5" l="1"/>
  <c r="L28" i="5"/>
  <c r="M28" i="5" s="1"/>
  <c r="W28" i="5"/>
  <c r="X28" i="5"/>
  <c r="V28" i="5"/>
  <c r="U28" i="5"/>
  <c r="H28" i="5"/>
  <c r="I28" i="5" l="1"/>
  <c r="R28" i="5" s="1"/>
  <c r="J28" i="5"/>
  <c r="P29" i="5"/>
  <c r="K28" i="5"/>
  <c r="Q28" i="5"/>
  <c r="S28" i="5" l="1"/>
  <c r="N29" i="5"/>
  <c r="T28" i="5"/>
  <c r="F29" i="5"/>
  <c r="O29" i="5" l="1"/>
  <c r="L29" i="5"/>
  <c r="M29" i="5" s="1"/>
  <c r="K29" i="5" s="1"/>
  <c r="T29" i="5" s="1"/>
  <c r="I29" i="5"/>
  <c r="R29" i="5" s="1"/>
  <c r="W29" i="5"/>
  <c r="V29" i="5"/>
  <c r="U29" i="5"/>
  <c r="X29" i="5"/>
  <c r="H29" i="5"/>
  <c r="P30" i="5" l="1"/>
  <c r="J29" i="5"/>
  <c r="N30" i="5" s="1"/>
  <c r="Q29" i="5"/>
  <c r="S29" i="5" l="1"/>
  <c r="F30" i="5"/>
  <c r="O30" i="5"/>
  <c r="L30" i="5"/>
  <c r="M30" i="5" s="1"/>
  <c r="I30" i="5" l="1"/>
  <c r="R30" i="5" s="1"/>
  <c r="X30" i="5"/>
  <c r="J30" i="5"/>
  <c r="S30" i="5" s="1"/>
  <c r="K30" i="5"/>
  <c r="T30" i="5" s="1"/>
  <c r="V30" i="5"/>
  <c r="W30" i="5"/>
  <c r="U30" i="5"/>
  <c r="P31" i="5"/>
  <c r="H30" i="5"/>
  <c r="F31" i="5" l="1"/>
  <c r="N31" i="5"/>
  <c r="Q30" i="5"/>
  <c r="W31" i="5" l="1"/>
  <c r="V31" i="5"/>
  <c r="J31" i="5"/>
  <c r="S31" i="5" s="1"/>
  <c r="U31" i="5"/>
  <c r="X31" i="5"/>
  <c r="L31" i="5"/>
  <c r="M31" i="5" s="1"/>
  <c r="I31" i="5" s="1"/>
  <c r="R31" i="5" s="1"/>
  <c r="O31" i="5"/>
  <c r="H31" i="5" l="1"/>
  <c r="K31" i="5"/>
  <c r="T31" i="5" s="1"/>
  <c r="N32" i="5"/>
  <c r="Q31" i="5"/>
  <c r="P32" i="5"/>
  <c r="F32" i="5" l="1"/>
  <c r="W32" i="5" s="1"/>
  <c r="U32" i="5"/>
  <c r="L32" i="5"/>
  <c r="M32" i="5" s="1"/>
  <c r="K32" i="5" s="1"/>
  <c r="T32" i="5" s="1"/>
  <c r="O32" i="5"/>
  <c r="V32" i="5" l="1"/>
  <c r="J32" i="5"/>
  <c r="S32" i="5" s="1"/>
  <c r="X32" i="5"/>
  <c r="H32" i="5"/>
  <c r="I32" i="5"/>
  <c r="R32" i="5" s="1"/>
  <c r="F33" i="5"/>
  <c r="Q32" i="5"/>
  <c r="N33" i="5"/>
  <c r="P33" i="5"/>
  <c r="V33" i="5" l="1"/>
  <c r="U33" i="5"/>
  <c r="X33" i="5"/>
  <c r="W33" i="5"/>
  <c r="L33" i="5"/>
  <c r="M33" i="5" s="1"/>
  <c r="K33" i="5" s="1"/>
  <c r="T33" i="5" s="1"/>
  <c r="O33" i="5"/>
  <c r="J33" i="5" l="1"/>
  <c r="S33" i="5" s="1"/>
  <c r="H33" i="5"/>
  <c r="Q33" i="5" s="1"/>
  <c r="P34" i="5"/>
  <c r="I33" i="5"/>
  <c r="R33" i="5" l="1"/>
  <c r="N34" i="5"/>
  <c r="F34" i="5"/>
  <c r="O34" i="5" l="1"/>
  <c r="L34" i="5"/>
  <c r="M34" i="5" s="1"/>
  <c r="X34" i="5"/>
  <c r="J34" i="5"/>
  <c r="S34" i="5" s="1"/>
  <c r="V34" i="5"/>
  <c r="W34" i="5"/>
  <c r="U34" i="5"/>
  <c r="I34" i="5" l="1"/>
  <c r="K34" i="5"/>
  <c r="T34" i="5" s="1"/>
  <c r="P35" i="5"/>
  <c r="H34" i="5"/>
  <c r="R34" i="5" l="1"/>
  <c r="N35" i="5"/>
  <c r="F35" i="5"/>
  <c r="Q34" i="5"/>
  <c r="O35" i="5" l="1"/>
  <c r="L35" i="5"/>
  <c r="M35" i="5" s="1"/>
  <c r="W35" i="5"/>
  <c r="U35" i="5"/>
  <c r="K35" i="5"/>
  <c r="T35" i="5" s="1"/>
  <c r="X35" i="5"/>
  <c r="V35" i="5"/>
  <c r="H35" i="5"/>
  <c r="I35" i="5"/>
  <c r="R35" i="5" s="1"/>
  <c r="P36" i="5" l="1"/>
  <c r="J35" i="5"/>
  <c r="Q35" i="5"/>
  <c r="S35" i="5" l="1"/>
  <c r="F36" i="5"/>
  <c r="V36" i="5" s="1"/>
  <c r="N36" i="5"/>
  <c r="L36" i="5" s="1"/>
  <c r="M36" i="5" s="1"/>
  <c r="W36" i="5" l="1"/>
  <c r="O36" i="5"/>
  <c r="X36" i="5"/>
  <c r="J36" i="5"/>
  <c r="S36" i="5" s="1"/>
  <c r="K36" i="5"/>
  <c r="T36" i="5" s="1"/>
  <c r="U36" i="5"/>
  <c r="H36" i="5"/>
  <c r="I36" i="5"/>
  <c r="R36" i="5" s="1"/>
  <c r="P37" i="5"/>
  <c r="F37" i="5" l="1"/>
  <c r="N37" i="5"/>
  <c r="L37" i="5" s="1"/>
  <c r="M37" i="5" s="1"/>
  <c r="Q36" i="5"/>
  <c r="U37" i="5"/>
  <c r="X37" i="5"/>
  <c r="V37" i="5"/>
  <c r="K37" i="5"/>
  <c r="T37" i="5" s="1"/>
  <c r="W37" i="5"/>
  <c r="O37" i="5" l="1"/>
  <c r="H37" i="5"/>
  <c r="J37" i="5"/>
  <c r="S37" i="5" s="1"/>
  <c r="P38" i="5"/>
  <c r="I37" i="5"/>
  <c r="N38" i="5" s="1"/>
  <c r="Q37" i="5"/>
  <c r="R37" i="5" l="1"/>
  <c r="F38" i="5"/>
  <c r="L38" i="5"/>
  <c r="M38" i="5" s="1"/>
  <c r="O38" i="5"/>
  <c r="J38" i="5" l="1"/>
  <c r="S38" i="5" s="1"/>
  <c r="I38" i="5"/>
  <c r="R38" i="5" s="1"/>
  <c r="W38" i="5"/>
  <c r="V38" i="5"/>
  <c r="X38" i="5"/>
  <c r="U38" i="5"/>
  <c r="K38" i="5"/>
  <c r="T38" i="5" s="1"/>
  <c r="P39" i="5"/>
  <c r="H38" i="5"/>
  <c r="Q38" i="5" l="1"/>
  <c r="F39" i="5"/>
  <c r="N39" i="5"/>
  <c r="U39" i="5" l="1"/>
  <c r="W39" i="5"/>
  <c r="V39" i="5"/>
  <c r="X39" i="5"/>
  <c r="O39" i="5"/>
  <c r="L39" i="5"/>
  <c r="M39" i="5" s="1"/>
  <c r="K39" i="5" s="1"/>
  <c r="T39" i="5" s="1"/>
  <c r="I39" i="5" l="1"/>
  <c r="R39" i="5" s="1"/>
  <c r="H39" i="5"/>
  <c r="P40" i="5"/>
  <c r="J39" i="5"/>
  <c r="S39" i="5" s="1"/>
  <c r="N40" i="5" l="1"/>
  <c r="Q39" i="5"/>
  <c r="F40" i="5"/>
  <c r="L40" i="5"/>
  <c r="M40" i="5" s="1"/>
  <c r="O40" i="5"/>
  <c r="W40" i="5"/>
  <c r="X40" i="5"/>
  <c r="J40" i="5"/>
  <c r="S40" i="5" s="1"/>
  <c r="I40" i="5" l="1"/>
  <c r="R40" i="5" s="1"/>
  <c r="K40" i="5"/>
  <c r="T40" i="5" s="1"/>
  <c r="U40" i="5"/>
  <c r="V40" i="5"/>
  <c r="P41" i="5"/>
  <c r="H40" i="5"/>
  <c r="N41" i="5" l="1"/>
  <c r="F41" i="5"/>
  <c r="Q40" i="5"/>
  <c r="L41" i="5" l="1"/>
  <c r="M41" i="5" s="1"/>
  <c r="J41" i="5" s="1"/>
  <c r="S41" i="5" s="1"/>
  <c r="O41" i="5"/>
  <c r="H41" i="5"/>
  <c r="K41" i="5"/>
  <c r="T41" i="5" s="1"/>
  <c r="V41" i="5"/>
  <c r="U41" i="5"/>
  <c r="X41" i="5"/>
  <c r="W41" i="5"/>
  <c r="Q41" i="5" l="1"/>
  <c r="P42" i="5"/>
  <c r="I41" i="5"/>
  <c r="R41" i="5" l="1"/>
  <c r="F42" i="5"/>
  <c r="N42" i="5"/>
  <c r="V42" i="5" l="1"/>
  <c r="X42" i="5"/>
  <c r="W42" i="5"/>
  <c r="U42" i="5"/>
  <c r="I42" i="5"/>
  <c r="R42" i="5" s="1"/>
  <c r="L42" i="5"/>
  <c r="M42" i="5" s="1"/>
  <c r="H42" i="5" s="1"/>
  <c r="O42" i="5"/>
  <c r="J42" i="5" l="1"/>
  <c r="S42" i="5" s="1"/>
  <c r="N43" i="5"/>
  <c r="Q42" i="5"/>
  <c r="P43" i="5"/>
  <c r="K42" i="5"/>
  <c r="T42" i="5" l="1"/>
  <c r="F43" i="5"/>
  <c r="O43" i="5"/>
  <c r="L43" i="5"/>
  <c r="M43" i="5" s="1"/>
  <c r="I43" i="5" l="1"/>
  <c r="H43" i="5"/>
  <c r="K43" i="5"/>
  <c r="T43" i="5" s="1"/>
  <c r="X43" i="5"/>
  <c r="U43" i="5"/>
  <c r="V43" i="5"/>
  <c r="W43" i="5"/>
  <c r="P44" i="5"/>
  <c r="J43" i="5"/>
  <c r="S43" i="5" s="1"/>
  <c r="R43" i="5" l="1"/>
  <c r="F44" i="5"/>
  <c r="Q43" i="5"/>
  <c r="N44" i="5"/>
  <c r="O44" i="5" s="1"/>
  <c r="L44" i="5" l="1"/>
  <c r="M44" i="5" s="1"/>
  <c r="U44" i="5"/>
  <c r="V44" i="5"/>
  <c r="J44" i="5"/>
  <c r="K44" i="5"/>
  <c r="T44" i="5" s="1"/>
  <c r="H44" i="5"/>
  <c r="X44" i="5"/>
  <c r="W44" i="5"/>
  <c r="P45" i="5"/>
  <c r="I44" i="5"/>
  <c r="Q44" i="5"/>
  <c r="S44" i="5" l="1"/>
  <c r="F45" i="5"/>
  <c r="R44" i="5"/>
  <c r="N45" i="5"/>
  <c r="U45" i="5" l="1"/>
  <c r="J45" i="5"/>
  <c r="S45" i="5" s="1"/>
  <c r="W45" i="5"/>
  <c r="X45" i="5"/>
  <c r="V45" i="5"/>
  <c r="O45" i="5"/>
  <c r="L45" i="5"/>
  <c r="M45" i="5" s="1"/>
  <c r="K45" i="5" s="1"/>
  <c r="T45" i="5" s="1"/>
  <c r="P46" i="5" l="1"/>
  <c r="I45" i="5"/>
  <c r="R45" i="5" s="1"/>
  <c r="H45" i="5"/>
  <c r="F46" i="5" l="1"/>
  <c r="Q45" i="5"/>
  <c r="N46" i="5"/>
  <c r="W46" i="5" l="1"/>
  <c r="X46" i="5"/>
  <c r="V46" i="5"/>
  <c r="U46" i="5"/>
  <c r="H46" i="5"/>
  <c r="L46" i="5"/>
  <c r="M46" i="5" s="1"/>
  <c r="I46" i="5" s="1"/>
  <c r="R46" i="5" s="1"/>
  <c r="O46" i="5"/>
  <c r="K46" i="5" l="1"/>
  <c r="T46" i="5" s="1"/>
  <c r="Q46" i="5"/>
  <c r="P47" i="5"/>
  <c r="J46" i="5"/>
  <c r="S46" i="5" l="1"/>
  <c r="N47" i="5"/>
  <c r="F47" i="5"/>
  <c r="O47" i="5" l="1"/>
  <c r="L47" i="5"/>
  <c r="M47" i="5" s="1"/>
  <c r="X47" i="5"/>
  <c r="U47" i="5"/>
  <c r="V47" i="5"/>
  <c r="W47" i="5"/>
  <c r="K47" i="5"/>
  <c r="T47" i="5" s="1"/>
  <c r="H47" i="5" l="1"/>
  <c r="J47" i="5"/>
  <c r="S47" i="5" s="1"/>
  <c r="P48" i="5"/>
  <c r="I47" i="5"/>
  <c r="Q47" i="5"/>
  <c r="R47" i="5" l="1"/>
  <c r="F48" i="5"/>
  <c r="N48" i="5"/>
  <c r="W48" i="5" l="1"/>
  <c r="V48" i="5"/>
  <c r="X48" i="5"/>
  <c r="U48" i="5"/>
  <c r="L48" i="5"/>
  <c r="M48" i="5" s="1"/>
  <c r="I48" i="5" s="1"/>
  <c r="R48" i="5" s="1"/>
  <c r="O48" i="5"/>
  <c r="J48" i="5" l="1"/>
  <c r="S48" i="5" s="1"/>
  <c r="K48" i="5"/>
  <c r="T48" i="5" s="1"/>
  <c r="P49" i="5"/>
  <c r="H48" i="5"/>
  <c r="N49" i="5" l="1"/>
  <c r="Q48" i="5"/>
  <c r="F49" i="5"/>
  <c r="O49" i="5" l="1"/>
  <c r="L49" i="5"/>
  <c r="M49" i="5" s="1"/>
  <c r="I49" i="5" s="1"/>
  <c r="R49" i="5" s="1"/>
  <c r="X49" i="5"/>
  <c r="H49" i="5"/>
  <c r="K49" i="5"/>
  <c r="T49" i="5" s="1"/>
  <c r="J49" i="5"/>
  <c r="S49" i="5" s="1"/>
  <c r="V49" i="5"/>
  <c r="W49" i="5"/>
  <c r="U49" i="5"/>
  <c r="P50" i="5" l="1"/>
  <c r="N50" i="5"/>
  <c r="F50" i="5"/>
  <c r="Q49" i="5"/>
  <c r="L50" i="5" l="1"/>
  <c r="M50" i="5" s="1"/>
  <c r="O50" i="5"/>
  <c r="H50" i="5"/>
  <c r="K50" i="5"/>
  <c r="T50" i="5" s="1"/>
  <c r="I50" i="5"/>
  <c r="R50" i="5" s="1"/>
  <c r="W50" i="5"/>
  <c r="U50" i="5"/>
  <c r="V50" i="5"/>
  <c r="X50" i="5"/>
  <c r="P51" i="5" l="1"/>
  <c r="J50" i="5"/>
  <c r="Q50" i="5"/>
  <c r="S50" i="5" l="1"/>
  <c r="F51" i="5"/>
  <c r="X51" i="5" s="1"/>
  <c r="N51" i="5"/>
  <c r="V51" i="5" l="1"/>
  <c r="U51" i="5"/>
  <c r="W51" i="5"/>
  <c r="O51" i="5"/>
  <c r="L51" i="5"/>
  <c r="M51" i="5" s="1"/>
  <c r="J51" i="5" s="1"/>
  <c r="S51" i="5" s="1"/>
  <c r="K51" i="5" l="1"/>
  <c r="T51" i="5" s="1"/>
  <c r="I51" i="5"/>
  <c r="R51" i="5" s="1"/>
  <c r="H51" i="5"/>
  <c r="P52" i="5"/>
  <c r="N52" i="5" l="1"/>
  <c r="F52" i="5"/>
  <c r="Q51" i="5"/>
  <c r="H52" i="5" l="1"/>
  <c r="U52" i="5"/>
  <c r="W52" i="5"/>
  <c r="X52" i="5"/>
  <c r="V52" i="5"/>
  <c r="O52" i="5"/>
  <c r="L52" i="5"/>
  <c r="M52" i="5" s="1"/>
  <c r="P53" i="5" s="1"/>
  <c r="K52" i="5" l="1"/>
  <c r="T52" i="5" s="1"/>
  <c r="J52" i="5"/>
  <c r="S52" i="5" s="1"/>
  <c r="I52" i="5"/>
  <c r="N53" i="5" s="1"/>
  <c r="Q52" i="5"/>
  <c r="O53" i="5" l="1"/>
  <c r="L53" i="5"/>
  <c r="M53" i="5" s="1"/>
  <c r="P54" i="5" s="1"/>
  <c r="R52" i="5"/>
  <c r="F53" i="5"/>
  <c r="J53" i="5" l="1"/>
  <c r="S53" i="5" s="1"/>
  <c r="X53" i="5"/>
  <c r="W53" i="5"/>
  <c r="V53" i="5"/>
  <c r="H53" i="5"/>
  <c r="K53" i="5"/>
  <c r="T53" i="5" s="1"/>
  <c r="I53" i="5"/>
  <c r="R53" i="5" s="1"/>
  <c r="U53" i="5"/>
  <c r="F54" i="5" l="1"/>
  <c r="Q53" i="5"/>
  <c r="N54" i="5"/>
  <c r="O54" i="5" l="1"/>
  <c r="L54" i="5"/>
  <c r="M54" i="5" s="1"/>
  <c r="I54" i="5" s="1"/>
  <c r="X54" i="5"/>
  <c r="H54" i="5"/>
  <c r="Q54" i="5" s="1"/>
  <c r="W54" i="5"/>
  <c r="V54" i="5"/>
  <c r="U54" i="5"/>
  <c r="J54" i="5"/>
  <c r="S54" i="5" s="1"/>
  <c r="R54" i="5"/>
  <c r="N55" i="5"/>
  <c r="K54" i="5" l="1"/>
  <c r="P55" i="5"/>
  <c r="O55" i="5"/>
  <c r="L55" i="5"/>
  <c r="M55" i="5" s="1"/>
  <c r="P56" i="5"/>
  <c r="T54" i="5" l="1"/>
  <c r="F55" i="5"/>
  <c r="V55" i="5" l="1"/>
  <c r="K55" i="5"/>
  <c r="T55" i="5" s="1"/>
  <c r="I55" i="5"/>
  <c r="R55" i="5" s="1"/>
  <c r="X55" i="5"/>
  <c r="W55" i="5"/>
  <c r="U55" i="5"/>
  <c r="H55" i="5"/>
  <c r="J55" i="5"/>
  <c r="S55" i="5" s="1"/>
  <c r="F56" i="5" l="1"/>
  <c r="N56" i="5"/>
  <c r="Q55" i="5"/>
  <c r="O56" i="5" l="1"/>
  <c r="L56" i="5"/>
  <c r="M56" i="5" s="1"/>
  <c r="W56" i="5"/>
  <c r="X56" i="5"/>
  <c r="I56" i="5"/>
  <c r="R56" i="5" s="1"/>
  <c r="V56" i="5"/>
  <c r="K56" i="5"/>
  <c r="T56" i="5" s="1"/>
  <c r="J56" i="5"/>
  <c r="S56" i="5" s="1"/>
  <c r="U56" i="5"/>
  <c r="P57" i="5" l="1"/>
  <c r="H56" i="5"/>
  <c r="F57" i="5" l="1"/>
  <c r="J57" i="5" s="1"/>
  <c r="S57" i="5" s="1"/>
  <c r="N57" i="5"/>
  <c r="Q56" i="5"/>
  <c r="O57" i="5" l="1"/>
  <c r="L57" i="5"/>
  <c r="M57" i="5" s="1"/>
  <c r="P58" i="5" s="1"/>
  <c r="I57" i="5"/>
  <c r="R57" i="5" s="1"/>
  <c r="W57" i="5"/>
  <c r="V57" i="5"/>
  <c r="X57" i="5"/>
  <c r="U57" i="5"/>
  <c r="K57" i="5" l="1"/>
  <c r="T57" i="5" s="1"/>
  <c r="H57" i="5"/>
  <c r="F58" i="5" s="1"/>
  <c r="N58" i="5"/>
  <c r="Q57" i="5"/>
  <c r="X58" i="5" l="1"/>
  <c r="W58" i="5"/>
  <c r="U58" i="5"/>
  <c r="V58" i="5"/>
  <c r="K58" i="5"/>
  <c r="T58" i="5" s="1"/>
  <c r="L58" i="5"/>
  <c r="M58" i="5" s="1"/>
  <c r="O58" i="5"/>
  <c r="J58" i="5" l="1"/>
  <c r="S58" i="5" s="1"/>
  <c r="I58" i="5"/>
  <c r="R58" i="5" s="1"/>
  <c r="P59" i="5"/>
  <c r="H58" i="5"/>
  <c r="F59" i="5" l="1"/>
  <c r="Q58" i="5"/>
  <c r="N59" i="5"/>
  <c r="O59" i="5" l="1"/>
  <c r="L59" i="5"/>
  <c r="M59" i="5" s="1"/>
  <c r="H59" i="5" s="1"/>
  <c r="Q59" i="5" s="1"/>
  <c r="K59" i="5"/>
  <c r="T59" i="5" s="1"/>
  <c r="V59" i="5"/>
  <c r="W59" i="5"/>
  <c r="X59" i="5"/>
  <c r="U59" i="5"/>
  <c r="I59" i="5" l="1"/>
  <c r="J59" i="5"/>
  <c r="S59" i="5" s="1"/>
  <c r="P60" i="5"/>
  <c r="R59" i="5" l="1"/>
  <c r="N60" i="5"/>
  <c r="F60" i="5"/>
  <c r="J60" i="5" s="1"/>
  <c r="O60" i="5" l="1"/>
  <c r="L60" i="5"/>
  <c r="M60" i="5" s="1"/>
  <c r="X60" i="5"/>
  <c r="K60" i="5"/>
  <c r="T60" i="5" s="1"/>
  <c r="V60" i="5"/>
  <c r="W60" i="5"/>
  <c r="I60" i="5"/>
  <c r="R60" i="5" s="1"/>
  <c r="U60" i="5"/>
  <c r="S60" i="5"/>
  <c r="H60" i="5" l="1"/>
  <c r="P61" i="5"/>
  <c r="Q60" i="5" l="1"/>
  <c r="F61" i="5"/>
  <c r="N61" i="5"/>
  <c r="U61" i="5" l="1"/>
  <c r="X61" i="5"/>
  <c r="W61" i="5"/>
  <c r="V61" i="5"/>
  <c r="O61" i="5"/>
  <c r="L61" i="5"/>
  <c r="M61" i="5" s="1"/>
  <c r="I61" i="5" s="1"/>
  <c r="R61" i="5" s="1"/>
  <c r="H61" i="5" l="1"/>
  <c r="Q61" i="5" s="1"/>
  <c r="J61" i="5"/>
  <c r="P62" i="5"/>
  <c r="K61" i="5"/>
  <c r="T61" i="5" s="1"/>
  <c r="S61" i="5" l="1"/>
  <c r="N62" i="5"/>
  <c r="F62" i="5"/>
  <c r="U62" i="5" l="1"/>
  <c r="K62" i="5"/>
  <c r="T62" i="5" s="1"/>
  <c r="V62" i="5"/>
  <c r="X62" i="5"/>
  <c r="W62" i="5"/>
  <c r="L62" i="5"/>
  <c r="M62" i="5" s="1"/>
  <c r="P63" i="5" s="1"/>
  <c r="O62" i="5"/>
  <c r="I62" i="5" l="1"/>
  <c r="R62" i="5" s="1"/>
  <c r="H62" i="5"/>
  <c r="J62" i="5"/>
  <c r="Q62" i="5"/>
  <c r="F63" i="5" l="1"/>
  <c r="V63" i="5"/>
  <c r="U63" i="5"/>
  <c r="X63" i="5"/>
  <c r="I63" i="5"/>
  <c r="R63" i="5" s="1"/>
  <c r="W63" i="5"/>
  <c r="S62" i="5"/>
  <c r="N63" i="5"/>
  <c r="O63" i="5" l="1"/>
  <c r="L63" i="5"/>
  <c r="M63" i="5" s="1"/>
  <c r="J63" i="5" s="1"/>
  <c r="S63" i="5" s="1"/>
  <c r="K63" i="5" l="1"/>
  <c r="T63" i="5" s="1"/>
  <c r="H63" i="5"/>
  <c r="P64" i="5"/>
  <c r="Q63" i="5" l="1"/>
  <c r="N64" i="5"/>
  <c r="F64" i="5"/>
  <c r="W64" i="5" l="1"/>
  <c r="U64" i="5"/>
  <c r="X64" i="5"/>
  <c r="V64" i="5"/>
  <c r="L64" i="5"/>
  <c r="M64" i="5" s="1"/>
  <c r="J64" i="5" s="1"/>
  <c r="S64" i="5" s="1"/>
  <c r="O64" i="5"/>
  <c r="H64" i="5" l="1"/>
  <c r="I64" i="5"/>
  <c r="P65" i="5"/>
  <c r="K64" i="5"/>
  <c r="T64" i="5" s="1"/>
  <c r="N65" i="5"/>
  <c r="Q64" i="5"/>
  <c r="O65" i="5" l="1"/>
  <c r="L65" i="5"/>
  <c r="M65" i="5" s="1"/>
  <c r="P66" i="5" s="1"/>
  <c r="R64" i="5"/>
  <c r="F65" i="5"/>
  <c r="X65" i="5" l="1"/>
  <c r="H65" i="5"/>
  <c r="W65" i="5"/>
  <c r="K65" i="5"/>
  <c r="T65" i="5" s="1"/>
  <c r="J65" i="5"/>
  <c r="S65" i="5" s="1"/>
  <c r="V65" i="5"/>
  <c r="I65" i="5"/>
  <c r="R65" i="5" s="1"/>
  <c r="U65" i="5"/>
  <c r="Q65" i="5" l="1"/>
  <c r="F66" i="5"/>
  <c r="N66" i="5"/>
  <c r="O66" i="5" l="1"/>
  <c r="L66" i="5"/>
  <c r="M66" i="5" s="1"/>
  <c r="J66" i="5" s="1"/>
  <c r="K66" i="5"/>
  <c r="T66" i="5" s="1"/>
  <c r="U66" i="5"/>
  <c r="W66" i="5"/>
  <c r="V66" i="5"/>
  <c r="X66" i="5"/>
  <c r="S66" i="5"/>
  <c r="I66" i="5" l="1"/>
  <c r="R66" i="5" s="1"/>
  <c r="H66" i="5"/>
  <c r="P67" i="5"/>
  <c r="Q66" i="5" l="1"/>
  <c r="N67" i="5"/>
  <c r="F67" i="5"/>
  <c r="L67" i="5" l="1"/>
  <c r="M67" i="5" s="1"/>
  <c r="P68" i="5" s="1"/>
  <c r="O67" i="5"/>
  <c r="K67" i="5"/>
  <c r="T67" i="5" s="1"/>
  <c r="J67" i="5"/>
  <c r="S67" i="5" s="1"/>
  <c r="I67" i="5"/>
  <c r="R67" i="5" s="1"/>
  <c r="H67" i="5"/>
  <c r="X67" i="5"/>
  <c r="V67" i="5"/>
  <c r="W67" i="5"/>
  <c r="U67" i="5"/>
  <c r="N68" i="5" l="1"/>
  <c r="Q67" i="5"/>
  <c r="F68" i="5"/>
  <c r="V68" i="5" l="1"/>
  <c r="W68" i="5"/>
  <c r="X68" i="5"/>
  <c r="U68" i="5"/>
  <c r="L68" i="5"/>
  <c r="M68" i="5" s="1"/>
  <c r="P69" i="5" s="1"/>
  <c r="O68" i="5"/>
  <c r="J68" i="5" l="1"/>
  <c r="S68" i="5" s="1"/>
  <c r="K68" i="5"/>
  <c r="T68" i="5" s="1"/>
  <c r="I68" i="5"/>
  <c r="R68" i="5" s="1"/>
  <c r="H68" i="5"/>
  <c r="F69" i="5" l="1"/>
  <c r="N69" i="5"/>
  <c r="Q68" i="5"/>
  <c r="O69" i="5" l="1"/>
  <c r="L69" i="5"/>
  <c r="M69" i="5" s="1"/>
  <c r="J69" i="5"/>
  <c r="S69" i="5" s="1"/>
  <c r="U69" i="5"/>
  <c r="X69" i="5"/>
  <c r="W69" i="5"/>
  <c r="H69" i="5"/>
  <c r="V69" i="5"/>
  <c r="Q69" i="5" l="1"/>
  <c r="I69" i="5"/>
  <c r="K69" i="5"/>
  <c r="T69" i="5" s="1"/>
  <c r="P70" i="5"/>
  <c r="R69" i="5" l="1"/>
  <c r="F70" i="5"/>
  <c r="N70" i="5"/>
  <c r="W70" i="5" l="1"/>
  <c r="V70" i="5"/>
  <c r="X70" i="5"/>
  <c r="U70" i="5"/>
  <c r="L70" i="5"/>
  <c r="M70" i="5" s="1"/>
  <c r="P71" i="5" s="1"/>
  <c r="O70" i="5"/>
  <c r="K70" i="5" l="1"/>
  <c r="T70" i="5" s="1"/>
  <c r="H70" i="5"/>
  <c r="J70" i="5"/>
  <c r="S70" i="5" s="1"/>
  <c r="I70" i="5"/>
  <c r="R70" i="5" s="1"/>
  <c r="Q70" i="5"/>
  <c r="N71" i="5"/>
  <c r="F71" i="5" l="1"/>
  <c r="X71" i="5" s="1"/>
  <c r="V71" i="5"/>
  <c r="U71" i="5"/>
  <c r="I71" i="5"/>
  <c r="R71" i="5" s="1"/>
  <c r="O71" i="5"/>
  <c r="L71" i="5"/>
  <c r="M71" i="5" s="1"/>
  <c r="K71" i="5" s="1"/>
  <c r="T71" i="5" s="1"/>
  <c r="J71" i="5" l="1"/>
  <c r="S71" i="5" s="1"/>
  <c r="W71" i="5"/>
  <c r="H71" i="5"/>
  <c r="P72" i="5"/>
  <c r="N72" i="5" l="1"/>
  <c r="Q71" i="5"/>
  <c r="F72" i="5"/>
  <c r="I72" i="5" l="1"/>
  <c r="R72" i="5" s="1"/>
  <c r="X72" i="5"/>
  <c r="U72" i="5"/>
  <c r="W72" i="5"/>
  <c r="J72" i="5"/>
  <c r="S72" i="5" s="1"/>
  <c r="V72" i="5"/>
  <c r="L72" i="5"/>
  <c r="M72" i="5" s="1"/>
  <c r="P73" i="5" s="1"/>
  <c r="O72" i="5"/>
  <c r="H72" i="5" l="1"/>
  <c r="Q72" i="5"/>
  <c r="N73" i="5"/>
  <c r="K72" i="5"/>
  <c r="T72" i="5" s="1"/>
  <c r="L73" i="5" l="1"/>
  <c r="M73" i="5" s="1"/>
  <c r="O73" i="5"/>
  <c r="F73" i="5"/>
  <c r="H73" i="5" l="1"/>
  <c r="J73" i="5"/>
  <c r="S73" i="5" s="1"/>
  <c r="W73" i="5"/>
  <c r="V73" i="5"/>
  <c r="U73" i="5"/>
  <c r="X73" i="5"/>
  <c r="I73" i="5"/>
  <c r="R73" i="5" s="1"/>
  <c r="K73" i="5"/>
  <c r="T73" i="5" s="1"/>
  <c r="P74" i="5"/>
  <c r="Q73" i="5" l="1"/>
  <c r="F74" i="5"/>
  <c r="I74" i="5" s="1"/>
  <c r="N74" i="5"/>
  <c r="W74" i="5" l="1"/>
  <c r="X74" i="5"/>
  <c r="V74" i="5"/>
  <c r="U74" i="5"/>
  <c r="O74" i="5"/>
  <c r="L74" i="5"/>
  <c r="M74" i="5" s="1"/>
  <c r="J74" i="5" s="1"/>
  <c r="S74" i="5" s="1"/>
  <c r="R74" i="5"/>
  <c r="K74" i="5" l="1"/>
  <c r="T74" i="5" s="1"/>
  <c r="H74" i="5"/>
  <c r="P75" i="5"/>
  <c r="Q74" i="5" l="1"/>
  <c r="N75" i="5"/>
  <c r="F75" i="5"/>
  <c r="O75" i="5" l="1"/>
  <c r="L75" i="5"/>
  <c r="M75" i="5" s="1"/>
  <c r="H75" i="5" s="1"/>
  <c r="Q75" i="5" s="1"/>
  <c r="K75" i="5"/>
  <c r="T75" i="5" s="1"/>
  <c r="V75" i="5"/>
  <c r="U75" i="5"/>
  <c r="W75" i="5"/>
  <c r="X75" i="5"/>
  <c r="I75" i="5" l="1"/>
  <c r="P76" i="5"/>
  <c r="J75" i="5"/>
  <c r="S75" i="5" s="1"/>
  <c r="R75" i="5" l="1"/>
  <c r="N76" i="5"/>
  <c r="F76" i="5"/>
  <c r="U76" i="5" l="1"/>
  <c r="W76" i="5"/>
  <c r="J76" i="5"/>
  <c r="S76" i="5" s="1"/>
  <c r="V76" i="5"/>
  <c r="X76" i="5"/>
  <c r="O76" i="5"/>
  <c r="L76" i="5"/>
  <c r="M76" i="5" s="1"/>
  <c r="P77" i="5" s="1"/>
  <c r="H76" i="5" l="1"/>
  <c r="I76" i="5"/>
  <c r="R76" i="5" s="1"/>
  <c r="Q76" i="5"/>
  <c r="N77" i="5"/>
  <c r="K76" i="5"/>
  <c r="T76" i="5" s="1"/>
  <c r="F77" i="5" l="1"/>
  <c r="O77" i="5"/>
  <c r="L77" i="5"/>
  <c r="M77" i="5" s="1"/>
  <c r="P78" i="5" s="1"/>
  <c r="V77" i="5" l="1"/>
  <c r="K77" i="5"/>
  <c r="T77" i="5" s="1"/>
  <c r="X77" i="5"/>
  <c r="H77" i="5"/>
  <c r="W77" i="5"/>
  <c r="U77" i="5"/>
  <c r="I77" i="5"/>
  <c r="R77" i="5" s="1"/>
  <c r="J77" i="5"/>
  <c r="S77" i="5" s="1"/>
  <c r="Q77" i="5" l="1"/>
  <c r="N78" i="5"/>
  <c r="F78" i="5"/>
  <c r="U78" i="5" l="1"/>
  <c r="V78" i="5"/>
  <c r="X78" i="5"/>
  <c r="W78" i="5"/>
  <c r="O78" i="5"/>
  <c r="L78" i="5"/>
  <c r="M78" i="5" s="1"/>
  <c r="P79" i="5" s="1"/>
  <c r="K78" i="5" l="1"/>
  <c r="T78" i="5" s="1"/>
  <c r="I78" i="5"/>
  <c r="J78" i="5"/>
  <c r="S78" i="5" s="1"/>
  <c r="R78" i="5"/>
  <c r="H78" i="5"/>
  <c r="Q78" i="5" l="1"/>
  <c r="N79" i="5"/>
  <c r="F79" i="5"/>
  <c r="X79" i="5" l="1"/>
  <c r="W79" i="5"/>
  <c r="U79" i="5"/>
  <c r="V79" i="5"/>
  <c r="I79" i="5"/>
  <c r="R79" i="5" s="1"/>
  <c r="L79" i="5"/>
  <c r="M79" i="5" s="1"/>
  <c r="J79" i="5" s="1"/>
  <c r="S79" i="5" s="1"/>
  <c r="O79" i="5"/>
  <c r="K79" i="5" l="1"/>
  <c r="P80" i="5"/>
  <c r="T79" i="5"/>
  <c r="H79" i="5"/>
  <c r="Q79" i="5" l="1"/>
  <c r="N80" i="5"/>
  <c r="F80" i="5"/>
  <c r="O80" i="5" l="1"/>
  <c r="L80" i="5"/>
  <c r="M80" i="5" s="1"/>
  <c r="H80" i="5"/>
  <c r="X80" i="5"/>
  <c r="V80" i="5"/>
  <c r="J80" i="5"/>
  <c r="S80" i="5" s="1"/>
  <c r="I80" i="5"/>
  <c r="R80" i="5" s="1"/>
  <c r="W80" i="5"/>
  <c r="K80" i="5"/>
  <c r="T80" i="5" s="1"/>
  <c r="U80" i="5"/>
  <c r="P81" i="5" l="1"/>
  <c r="F81" i="5"/>
  <c r="Q80" i="5"/>
  <c r="N81" i="5"/>
  <c r="O81" i="5" l="1"/>
  <c r="L81" i="5"/>
  <c r="M81" i="5" s="1"/>
  <c r="K81" i="5"/>
  <c r="T81" i="5" s="1"/>
  <c r="I81" i="5"/>
  <c r="R81" i="5" s="1"/>
  <c r="V81" i="5"/>
  <c r="U81" i="5"/>
  <c r="W81" i="5"/>
  <c r="X81" i="5"/>
  <c r="J81" i="5"/>
  <c r="S81" i="5" s="1"/>
  <c r="H81" i="5" l="1"/>
  <c r="P82" i="5"/>
  <c r="F82" i="5" l="1"/>
  <c r="N82" i="5"/>
  <c r="Q81" i="5"/>
  <c r="O82" i="5" l="1"/>
  <c r="L82" i="5"/>
  <c r="M82" i="5" s="1"/>
  <c r="K82" i="5"/>
  <c r="T82" i="5" s="1"/>
  <c r="W82" i="5"/>
  <c r="U82" i="5"/>
  <c r="I82" i="5"/>
  <c r="R82" i="5" s="1"/>
  <c r="X82" i="5"/>
  <c r="H82" i="5"/>
  <c r="V82" i="5"/>
  <c r="J82" i="5"/>
  <c r="F83" i="5" l="1"/>
  <c r="S82" i="5"/>
  <c r="Q82" i="5"/>
  <c r="N83" i="5"/>
  <c r="P83" i="5"/>
  <c r="L83" i="5" l="1"/>
  <c r="M83" i="5" s="1"/>
  <c r="O83" i="5"/>
  <c r="H83" i="5"/>
  <c r="V83" i="5"/>
  <c r="U83" i="5"/>
  <c r="X83" i="5"/>
  <c r="I83" i="5"/>
  <c r="R83" i="5" s="1"/>
  <c r="J83" i="5"/>
  <c r="S83" i="5" s="1"/>
  <c r="W83" i="5"/>
  <c r="K83" i="5"/>
  <c r="T83" i="5" s="1"/>
  <c r="N84" i="5" l="1"/>
  <c r="Q83" i="5"/>
  <c r="F84" i="5"/>
  <c r="P84" i="5"/>
  <c r="J84" i="5" l="1"/>
  <c r="S84" i="5" s="1"/>
  <c r="U84" i="5"/>
  <c r="V84" i="5"/>
  <c r="K84" i="5"/>
  <c r="T84" i="5" s="1"/>
  <c r="W84" i="5"/>
  <c r="X84" i="5"/>
  <c r="L84" i="5"/>
  <c r="M84" i="5" s="1"/>
  <c r="P85" i="5" s="1"/>
  <c r="O84" i="5"/>
  <c r="H84" i="5" l="1"/>
  <c r="Q84" i="5"/>
  <c r="I84" i="5"/>
  <c r="R84" i="5" s="1"/>
  <c r="N85" i="5" l="1"/>
  <c r="F85" i="5"/>
  <c r="I85" i="5" l="1"/>
  <c r="R85" i="5" s="1"/>
  <c r="W85" i="5"/>
  <c r="V85" i="5"/>
  <c r="U85" i="5"/>
  <c r="X85" i="5"/>
  <c r="L85" i="5"/>
  <c r="M85" i="5" s="1"/>
  <c r="K85" i="5" s="1"/>
  <c r="T85" i="5" s="1"/>
  <c r="O85" i="5"/>
  <c r="H85" i="5" l="1"/>
  <c r="P86" i="5"/>
  <c r="J85" i="5"/>
  <c r="S85" i="5" s="1"/>
  <c r="Q85" i="5" l="1"/>
  <c r="N86" i="5"/>
  <c r="F86" i="5"/>
  <c r="W86" i="5" l="1"/>
  <c r="U86" i="5"/>
  <c r="X86" i="5"/>
  <c r="V86" i="5"/>
  <c r="I86" i="5"/>
  <c r="R86" i="5" s="1"/>
  <c r="O86" i="5"/>
  <c r="L86" i="5"/>
  <c r="M86" i="5" s="1"/>
  <c r="P87" i="5" s="1"/>
  <c r="J86" i="5" l="1"/>
  <c r="S86" i="5" s="1"/>
  <c r="H86" i="5"/>
  <c r="N87" i="5"/>
  <c r="Q86" i="5"/>
  <c r="K86" i="5"/>
  <c r="T86" i="5" s="1"/>
  <c r="F87" i="5" l="1"/>
  <c r="J87" i="5" s="1"/>
  <c r="S87" i="5" s="1"/>
  <c r="O87" i="5"/>
  <c r="L87" i="5"/>
  <c r="M87" i="5" s="1"/>
  <c r="K87" i="5" s="1"/>
  <c r="T87" i="5" s="1"/>
  <c r="I87" i="5" l="1"/>
  <c r="R87" i="5" s="1"/>
  <c r="W87" i="5"/>
  <c r="X87" i="5"/>
  <c r="V87" i="5"/>
  <c r="U87" i="5"/>
  <c r="P88" i="5"/>
  <c r="H87" i="5"/>
  <c r="Q87" i="5" l="1"/>
  <c r="F88" i="5"/>
  <c r="N88" i="5"/>
  <c r="X88" i="5" l="1"/>
  <c r="V88" i="5"/>
  <c r="W88" i="5"/>
  <c r="I88" i="5"/>
  <c r="R88" i="5" s="1"/>
  <c r="U88" i="5"/>
  <c r="O88" i="5"/>
  <c r="L88" i="5"/>
  <c r="M88" i="5" s="1"/>
  <c r="H88" i="5" s="1"/>
  <c r="K88" i="5" l="1"/>
  <c r="T88" i="5" s="1"/>
  <c r="Q88" i="5"/>
  <c r="J88" i="5"/>
  <c r="S88" i="5" s="1"/>
  <c r="P89" i="5"/>
  <c r="F89" i="5" l="1"/>
  <c r="V89" i="5" s="1"/>
  <c r="U89" i="5"/>
  <c r="N89" i="5"/>
  <c r="X89" i="5" l="1"/>
  <c r="W89" i="5"/>
  <c r="L89" i="5"/>
  <c r="M89" i="5" s="1"/>
  <c r="H89" i="5" s="1"/>
  <c r="Q89" i="5" s="1"/>
  <c r="O89" i="5"/>
  <c r="J89" i="5" l="1"/>
  <c r="S89" i="5" s="1"/>
  <c r="I89" i="5"/>
  <c r="P90" i="5"/>
  <c r="K89" i="5"/>
  <c r="T89" i="5" s="1"/>
  <c r="R89" i="5" l="1"/>
  <c r="N90" i="5"/>
  <c r="F90" i="5"/>
  <c r="L90" i="5" l="1"/>
  <c r="M90" i="5" s="1"/>
  <c r="O90" i="5"/>
  <c r="V90" i="5"/>
  <c r="W90" i="5"/>
  <c r="I90" i="5"/>
  <c r="R90" i="5" s="1"/>
  <c r="K90" i="5"/>
  <c r="T90" i="5" s="1"/>
  <c r="X90" i="5"/>
  <c r="J90" i="5"/>
  <c r="S90" i="5" s="1"/>
  <c r="U90" i="5"/>
  <c r="H90" i="5"/>
  <c r="F91" i="5" l="1"/>
  <c r="Q90" i="5"/>
  <c r="N91" i="5"/>
  <c r="P91" i="5"/>
  <c r="O91" i="5" l="1"/>
  <c r="L91" i="5"/>
  <c r="M91" i="5" s="1"/>
  <c r="J91" i="5"/>
  <c r="S91" i="5" s="1"/>
  <c r="H91" i="5"/>
  <c r="X91" i="5"/>
  <c r="V91" i="5"/>
  <c r="W91" i="5"/>
  <c r="U91" i="5"/>
  <c r="I91" i="5"/>
  <c r="R91" i="5" s="1"/>
  <c r="Q91" i="5" l="1"/>
  <c r="N92" i="5"/>
  <c r="K91" i="5"/>
  <c r="T91" i="5" s="1"/>
  <c r="P92" i="5"/>
  <c r="F92" i="5" l="1"/>
  <c r="W92" i="5" s="1"/>
  <c r="O92" i="5"/>
  <c r="L92" i="5"/>
  <c r="M92" i="5" s="1"/>
  <c r="H92" i="5" s="1"/>
  <c r="J92" i="5" l="1"/>
  <c r="S92" i="5" s="1"/>
  <c r="V92" i="5"/>
  <c r="X92" i="5"/>
  <c r="U92" i="5"/>
  <c r="K92" i="5"/>
  <c r="T92" i="5" s="1"/>
  <c r="Q92" i="5"/>
  <c r="I92" i="5"/>
  <c r="R92" i="5" s="1"/>
  <c r="P93" i="5"/>
  <c r="F93" i="5" l="1"/>
  <c r="N93" i="5"/>
  <c r="O93" i="5" l="1"/>
  <c r="L93" i="5"/>
  <c r="M93" i="5" s="1"/>
  <c r="V93" i="5"/>
  <c r="W93" i="5"/>
  <c r="X93" i="5"/>
  <c r="J93" i="5"/>
  <c r="S93" i="5" s="1"/>
  <c r="U93" i="5"/>
  <c r="H93" i="5"/>
  <c r="K93" i="5"/>
  <c r="T93" i="5" s="1"/>
  <c r="Q93" i="5" l="1"/>
  <c r="P94" i="5"/>
  <c r="I93" i="5"/>
  <c r="R93" i="5" s="1"/>
  <c r="N94" i="5" l="1"/>
  <c r="F94" i="5"/>
  <c r="X94" i="5" l="1"/>
  <c r="U94" i="5"/>
  <c r="W94" i="5"/>
  <c r="V94" i="5"/>
  <c r="K94" i="5"/>
  <c r="T94" i="5" s="1"/>
  <c r="L94" i="5"/>
  <c r="M94" i="5" s="1"/>
  <c r="H94" i="5" s="1"/>
  <c r="O94" i="5"/>
  <c r="I94" i="5" l="1"/>
  <c r="R94" i="5" s="1"/>
  <c r="P95" i="5"/>
  <c r="Q94" i="5"/>
  <c r="J94" i="5"/>
  <c r="S94" i="5" s="1"/>
  <c r="F95" i="5" l="1"/>
  <c r="N95" i="5"/>
  <c r="L95" i="5" l="1"/>
  <c r="M95" i="5" s="1"/>
  <c r="O95" i="5"/>
  <c r="X95" i="5"/>
  <c r="I95" i="5"/>
  <c r="R95" i="5" s="1"/>
  <c r="H95" i="5"/>
  <c r="W95" i="5"/>
  <c r="U95" i="5"/>
  <c r="K95" i="5"/>
  <c r="T95" i="5" s="1"/>
  <c r="V95" i="5"/>
  <c r="J95" i="5"/>
  <c r="S95" i="5" s="1"/>
  <c r="Q95" i="5" l="1"/>
  <c r="N96" i="5"/>
  <c r="F96" i="5"/>
  <c r="P96" i="5"/>
  <c r="X96" i="5" l="1"/>
  <c r="V96" i="5"/>
  <c r="I96" i="5"/>
  <c r="R96" i="5" s="1"/>
  <c r="U96" i="5"/>
  <c r="W96" i="5"/>
  <c r="O96" i="5"/>
  <c r="L96" i="5"/>
  <c r="M96" i="5" s="1"/>
  <c r="J96" i="5" s="1"/>
  <c r="S96" i="5" s="1"/>
  <c r="K96" i="5" l="1"/>
  <c r="T96" i="5" s="1"/>
  <c r="P97" i="5"/>
  <c r="H96" i="5"/>
  <c r="N97" i="5" l="1"/>
  <c r="F97" i="5"/>
  <c r="Q96" i="5"/>
  <c r="O97" i="5" l="1"/>
  <c r="L97" i="5"/>
  <c r="M97" i="5" s="1"/>
  <c r="H97" i="5" s="1"/>
  <c r="K97" i="5"/>
  <c r="T97" i="5" s="1"/>
  <c r="V97" i="5"/>
  <c r="U97" i="5"/>
  <c r="I97" i="5"/>
  <c r="R97" i="5" s="1"/>
  <c r="X97" i="5"/>
  <c r="J97" i="5"/>
  <c r="S97" i="5" s="1"/>
  <c r="W97" i="5"/>
  <c r="Q97" i="5" l="1"/>
  <c r="N98" i="5"/>
  <c r="F98" i="5"/>
  <c r="P98" i="5"/>
  <c r="V98" i="5" l="1"/>
  <c r="U98" i="5"/>
  <c r="W98" i="5"/>
  <c r="K98" i="5"/>
  <c r="T98" i="5" s="1"/>
  <c r="X98" i="5"/>
  <c r="L98" i="5"/>
  <c r="M98" i="5" s="1"/>
  <c r="H98" i="5" s="1"/>
  <c r="O98" i="5"/>
  <c r="J98" i="5" l="1"/>
  <c r="S98" i="5" s="1"/>
  <c r="P99" i="5"/>
  <c r="I98" i="5"/>
  <c r="R98" i="5" s="1"/>
  <c r="Q98" i="5"/>
  <c r="F99" i="5" l="1"/>
  <c r="N99" i="5"/>
  <c r="O99" i="5" l="1"/>
  <c r="L99" i="5"/>
  <c r="M99" i="5" s="1"/>
  <c r="U99" i="5"/>
  <c r="K99" i="5"/>
  <c r="T99" i="5" s="1"/>
  <c r="W99" i="5"/>
  <c r="X99" i="5"/>
  <c r="V99" i="5"/>
  <c r="J99" i="5"/>
  <c r="S99" i="5" s="1"/>
  <c r="H99" i="5"/>
  <c r="I99" i="5"/>
  <c r="R99" i="5" s="1"/>
  <c r="Q99" i="5" l="1"/>
  <c r="F100" i="5"/>
  <c r="N100" i="5"/>
  <c r="P100" i="5"/>
  <c r="O100" i="5" l="1"/>
  <c r="L100" i="5"/>
  <c r="M100" i="5" s="1"/>
  <c r="K100" i="5"/>
  <c r="T100" i="5" s="1"/>
  <c r="U100" i="5"/>
  <c r="W100" i="5"/>
  <c r="J100" i="5"/>
  <c r="S100" i="5" s="1"/>
  <c r="I100" i="5"/>
  <c r="R100" i="5" s="1"/>
  <c r="X100" i="5"/>
  <c r="V100" i="5"/>
  <c r="H100" i="5"/>
  <c r="N101" i="5" l="1"/>
  <c r="Q100" i="5"/>
  <c r="F101" i="5"/>
  <c r="P101" i="5"/>
  <c r="U101" i="5" l="1"/>
  <c r="V101" i="5"/>
  <c r="X101" i="5"/>
  <c r="W101" i="5"/>
  <c r="O101" i="5"/>
  <c r="L101" i="5"/>
  <c r="M101" i="5" s="1"/>
  <c r="J101" i="5" s="1"/>
  <c r="S101" i="5" s="1"/>
  <c r="K101" i="5" l="1"/>
  <c r="T101" i="5" s="1"/>
  <c r="I101" i="5"/>
  <c r="R101" i="5" s="1"/>
  <c r="P102" i="5"/>
  <c r="H101" i="5"/>
  <c r="N102" i="5" l="1"/>
  <c r="Q101" i="5"/>
  <c r="F102" i="5"/>
  <c r="X102" i="5" l="1"/>
  <c r="U102" i="5"/>
  <c r="V102" i="5"/>
  <c r="W102" i="5"/>
  <c r="L102" i="5"/>
  <c r="M102" i="5" s="1"/>
  <c r="I102" i="5" s="1"/>
  <c r="R102" i="5" s="1"/>
  <c r="O102" i="5"/>
  <c r="K102" i="5" l="1"/>
  <c r="T102" i="5" s="1"/>
  <c r="H102" i="5"/>
  <c r="Q102" i="5" s="1"/>
  <c r="P103" i="5"/>
  <c r="J102" i="5"/>
  <c r="S102" i="5" s="1"/>
  <c r="F103" i="5" l="1"/>
  <c r="N103" i="5"/>
  <c r="O103" i="5" l="1"/>
  <c r="L103" i="5"/>
  <c r="M103" i="5" s="1"/>
  <c r="W103" i="5"/>
  <c r="U103" i="5"/>
  <c r="H103" i="5"/>
  <c r="K103" i="5"/>
  <c r="T103" i="5" s="1"/>
  <c r="J103" i="5"/>
  <c r="X103" i="5"/>
  <c r="V103" i="5"/>
  <c r="S103" i="5" l="1"/>
  <c r="Q103" i="5"/>
  <c r="I103" i="5"/>
  <c r="R103" i="5" s="1"/>
  <c r="P104" i="5"/>
  <c r="N104" i="5" l="1"/>
  <c r="F104" i="5"/>
  <c r="X104" i="5" l="1"/>
  <c r="V104" i="5"/>
  <c r="U104" i="5"/>
  <c r="W104" i="5"/>
  <c r="J104" i="5"/>
  <c r="S104" i="5" s="1"/>
  <c r="L104" i="5"/>
  <c r="M104" i="5" s="1"/>
  <c r="K104" i="5" s="1"/>
  <c r="T104" i="5" s="1"/>
  <c r="O104" i="5"/>
  <c r="H104" i="5" l="1"/>
  <c r="P105" i="5"/>
  <c r="I104" i="5"/>
  <c r="R104" i="5" s="1"/>
  <c r="Q104" i="5" l="1"/>
  <c r="N105" i="5"/>
  <c r="F105" i="5"/>
  <c r="V105" i="5" l="1"/>
  <c r="X105" i="5"/>
  <c r="U105" i="5"/>
  <c r="J105" i="5"/>
  <c r="S105" i="5" s="1"/>
  <c r="W105" i="5"/>
  <c r="O105" i="5"/>
  <c r="L105" i="5"/>
  <c r="M105" i="5" s="1"/>
  <c r="I105" i="5" s="1"/>
  <c r="R105" i="5" s="1"/>
  <c r="K105" i="5" l="1"/>
  <c r="T105" i="5" s="1"/>
  <c r="P106" i="5"/>
  <c r="H105" i="5"/>
  <c r="F106" i="5" l="1"/>
  <c r="N106" i="5"/>
  <c r="Q105" i="5"/>
  <c r="O106" i="5" l="1"/>
  <c r="L106" i="5"/>
  <c r="M106" i="5" s="1"/>
  <c r="K106" i="5"/>
  <c r="T106" i="5" s="1"/>
  <c r="V106" i="5"/>
  <c r="W106" i="5"/>
  <c r="X106" i="5"/>
  <c r="U106" i="5"/>
  <c r="I106" i="5"/>
  <c r="R106" i="5" s="1"/>
  <c r="J106" i="5"/>
  <c r="S106" i="5" s="1"/>
  <c r="H106" i="5" l="1"/>
  <c r="P107" i="5"/>
  <c r="Q106" i="5" l="1"/>
  <c r="F107" i="5"/>
  <c r="N107" i="5"/>
  <c r="V107" i="5" l="1"/>
  <c r="U107" i="5"/>
  <c r="W107" i="5"/>
  <c r="X107" i="5"/>
  <c r="O107" i="5"/>
  <c r="L107" i="5"/>
  <c r="M107" i="5" s="1"/>
  <c r="I107" i="5" s="1"/>
  <c r="R107" i="5" s="1"/>
  <c r="K107" i="5" l="1"/>
  <c r="T107" i="5" s="1"/>
  <c r="H107" i="5"/>
  <c r="P108" i="5"/>
  <c r="J107" i="5"/>
  <c r="S107" i="5" s="1"/>
  <c r="N108" i="5" l="1"/>
  <c r="Q107" i="5"/>
  <c r="F108" i="5"/>
  <c r="U108" i="5" l="1"/>
  <c r="V108" i="5"/>
  <c r="W108" i="5"/>
  <c r="X108" i="5"/>
  <c r="L108" i="5"/>
  <c r="M108" i="5" s="1"/>
  <c r="H108" i="5" s="1"/>
  <c r="O108" i="5"/>
  <c r="K108" i="5" l="1"/>
  <c r="T108" i="5" s="1"/>
  <c r="I108" i="5"/>
  <c r="R108" i="5" s="1"/>
  <c r="P109" i="5"/>
  <c r="Q108" i="5"/>
  <c r="J108" i="5"/>
  <c r="S108" i="5" s="1"/>
  <c r="F109" i="5" l="1"/>
  <c r="N109" i="5"/>
  <c r="O109" i="5"/>
  <c r="L109" i="5"/>
  <c r="M109" i="5" s="1"/>
  <c r="U109" i="5"/>
  <c r="J109" i="5"/>
  <c r="S109" i="5" s="1"/>
  <c r="V109" i="5"/>
  <c r="W109" i="5"/>
  <c r="X109" i="5"/>
  <c r="H109" i="5"/>
  <c r="I109" i="5"/>
  <c r="R109" i="5" s="1"/>
  <c r="K109" i="5"/>
  <c r="T109" i="5" s="1"/>
  <c r="Q109" i="5" l="1"/>
  <c r="F110" i="5"/>
  <c r="N110" i="5"/>
  <c r="P110" i="5"/>
  <c r="O110" i="5" l="1"/>
  <c r="L110" i="5"/>
  <c r="M110" i="5" s="1"/>
  <c r="H110" i="5"/>
  <c r="J110" i="5"/>
  <c r="S110" i="5" s="1"/>
  <c r="I110" i="5"/>
  <c r="R110" i="5" s="1"/>
  <c r="K110" i="5"/>
  <c r="T110" i="5" s="1"/>
  <c r="V110" i="5"/>
  <c r="X110" i="5"/>
  <c r="W110" i="5"/>
  <c r="U110" i="5"/>
  <c r="F111" i="5" l="1"/>
  <c r="Q110" i="5"/>
  <c r="N111" i="5"/>
  <c r="P111" i="5"/>
  <c r="O111" i="5" l="1"/>
  <c r="L111" i="5"/>
  <c r="M111" i="5" s="1"/>
  <c r="X111" i="5"/>
  <c r="V111" i="5"/>
  <c r="U111" i="5"/>
  <c r="W111" i="5"/>
  <c r="J111" i="5"/>
  <c r="S111" i="5" s="1"/>
  <c r="H111" i="5"/>
  <c r="I111" i="5" l="1"/>
  <c r="R111" i="5" s="1"/>
  <c r="P112" i="5"/>
  <c r="N112" i="5"/>
  <c r="Q111" i="5"/>
  <c r="K111" i="5"/>
  <c r="T111" i="5" s="1"/>
  <c r="F112" i="5" l="1"/>
  <c r="W112" i="5" s="1"/>
  <c r="U112" i="5"/>
  <c r="V112" i="5"/>
  <c r="O112" i="5"/>
  <c r="L112" i="5"/>
  <c r="M112" i="5" s="1"/>
  <c r="I112" i="5" s="1"/>
  <c r="R112" i="5" s="1"/>
  <c r="J112" i="5" l="1"/>
  <c r="S112" i="5" s="1"/>
  <c r="K112" i="5"/>
  <c r="T112" i="5" s="1"/>
  <c r="X112" i="5"/>
  <c r="P113" i="5"/>
  <c r="H112" i="5"/>
  <c r="Q112" i="5" l="1"/>
  <c r="N113" i="5"/>
  <c r="F113" i="5"/>
  <c r="V113" i="5" l="1"/>
  <c r="U113" i="5"/>
  <c r="W113" i="5"/>
  <c r="X113" i="5"/>
  <c r="I113" i="5"/>
  <c r="R113" i="5" s="1"/>
  <c r="O113" i="5"/>
  <c r="L113" i="5"/>
  <c r="M113" i="5" s="1"/>
  <c r="K113" i="5" s="1"/>
  <c r="T113" i="5" s="1"/>
  <c r="H113" i="5" l="1"/>
  <c r="J113" i="5"/>
  <c r="S113" i="5" s="1"/>
  <c r="P114" i="5"/>
  <c r="F114" i="5"/>
  <c r="Q113" i="5"/>
  <c r="N114" i="5"/>
  <c r="L114" i="5" l="1"/>
  <c r="M114" i="5" s="1"/>
  <c r="J114" i="5" s="1"/>
  <c r="S114" i="5" s="1"/>
  <c r="O114" i="5"/>
  <c r="W114" i="5"/>
  <c r="V114" i="5"/>
  <c r="I114" i="5"/>
  <c r="R114" i="5" s="1"/>
  <c r="U114" i="5"/>
  <c r="H114" i="5"/>
  <c r="X114" i="5"/>
  <c r="K114" i="5"/>
  <c r="T114" i="5" s="1"/>
  <c r="F115" i="5" l="1"/>
  <c r="Q114" i="5"/>
  <c r="N115" i="5"/>
  <c r="P115" i="5"/>
  <c r="O115" i="5" l="1"/>
  <c r="L115" i="5"/>
  <c r="M115" i="5" s="1"/>
  <c r="U115" i="5"/>
  <c r="W115" i="5"/>
  <c r="I115" i="5"/>
  <c r="R115" i="5" s="1"/>
  <c r="X115" i="5"/>
  <c r="V115" i="5"/>
  <c r="K115" i="5"/>
  <c r="T115" i="5" s="1"/>
  <c r="J115" i="5"/>
  <c r="S115" i="5" s="1"/>
  <c r="H115" i="5" l="1"/>
  <c r="P116" i="5"/>
  <c r="N116" i="5" l="1"/>
  <c r="F116" i="5"/>
  <c r="Q115" i="5"/>
  <c r="W116" i="5" l="1"/>
  <c r="U116" i="5"/>
  <c r="V116" i="5"/>
  <c r="X116" i="5"/>
  <c r="L116" i="5"/>
  <c r="M116" i="5" s="1"/>
  <c r="I116" i="5" s="1"/>
  <c r="R116" i="5" s="1"/>
  <c r="O116" i="5"/>
  <c r="J116" i="5" l="1"/>
  <c r="S116" i="5" s="1"/>
  <c r="K116" i="5"/>
  <c r="T116" i="5" s="1"/>
  <c r="P117" i="5"/>
  <c r="H116" i="5"/>
  <c r="F117" i="5" l="1"/>
  <c r="N117" i="5"/>
  <c r="Q116" i="5"/>
  <c r="L117" i="5" l="1"/>
  <c r="M117" i="5" s="1"/>
  <c r="H117" i="5" s="1"/>
  <c r="O117" i="5"/>
  <c r="V117" i="5"/>
  <c r="U117" i="5"/>
  <c r="X117" i="5"/>
  <c r="W117" i="5"/>
  <c r="J117" i="5"/>
  <c r="S117" i="5" s="1"/>
  <c r="K117" i="5"/>
  <c r="T117" i="5" s="1"/>
  <c r="I117" i="5"/>
  <c r="R117" i="5" s="1"/>
  <c r="Q117" i="5" l="1"/>
  <c r="N118" i="5"/>
  <c r="F118" i="5"/>
  <c r="P118" i="5"/>
  <c r="I118" i="5" l="1"/>
  <c r="R118" i="5" s="1"/>
  <c r="H118" i="5"/>
  <c r="U118" i="5"/>
  <c r="W118" i="5"/>
  <c r="X118" i="5"/>
  <c r="V118" i="5"/>
  <c r="O118" i="5"/>
  <c r="L118" i="5"/>
  <c r="M118" i="5" s="1"/>
  <c r="K118" i="5" s="1"/>
  <c r="T118" i="5" s="1"/>
  <c r="P119" i="5" l="1"/>
  <c r="Q118" i="5"/>
  <c r="J118" i="5"/>
  <c r="S118" i="5" s="1"/>
  <c r="F119" i="5" l="1"/>
  <c r="U119" i="5" s="1"/>
  <c r="V119" i="5"/>
  <c r="J119" i="5"/>
  <c r="S119" i="5" s="1"/>
  <c r="W119" i="5"/>
  <c r="X119" i="5"/>
  <c r="N119" i="5"/>
  <c r="L119" i="5" l="1"/>
  <c r="M119" i="5" s="1"/>
  <c r="O119" i="5"/>
  <c r="H119" i="5" l="1"/>
  <c r="I119" i="5"/>
  <c r="R119" i="5" s="1"/>
  <c r="K119" i="5"/>
  <c r="P120" i="5"/>
  <c r="N120" i="5" l="1"/>
  <c r="O120" i="5" s="1"/>
  <c r="Q119" i="5"/>
  <c r="T119" i="5"/>
  <c r="F120" i="5"/>
  <c r="L120" i="5" l="1"/>
  <c r="M120" i="5" s="1"/>
  <c r="P121" i="5" s="1"/>
  <c r="W120" i="5"/>
  <c r="X120" i="5"/>
  <c r="J120" i="5"/>
  <c r="S120" i="5" s="1"/>
  <c r="U120" i="5"/>
  <c r="V120" i="5"/>
  <c r="I120" i="5"/>
  <c r="R120" i="5" s="1"/>
  <c r="H120" i="5"/>
  <c r="K120" i="5"/>
  <c r="T120" i="5" s="1"/>
  <c r="Q120" i="5" l="1"/>
  <c r="N121" i="5"/>
  <c r="F121" i="5"/>
  <c r="J121" i="5" l="1"/>
  <c r="S121" i="5" s="1"/>
  <c r="V121" i="5"/>
  <c r="W121" i="5"/>
  <c r="X121" i="5"/>
  <c r="U121" i="5"/>
  <c r="O121" i="5"/>
  <c r="L121" i="5"/>
  <c r="M121" i="5" s="1"/>
  <c r="H121" i="5" s="1"/>
  <c r="I121" i="5" l="1"/>
  <c r="R121" i="5" s="1"/>
  <c r="K121" i="5"/>
  <c r="T121" i="5" s="1"/>
  <c r="N122" i="5"/>
  <c r="F122" i="5"/>
  <c r="Q121" i="5"/>
  <c r="P122" i="5"/>
  <c r="K122" i="5" l="1"/>
  <c r="T122" i="5" s="1"/>
  <c r="V122" i="5"/>
  <c r="W122" i="5"/>
  <c r="X122" i="5"/>
  <c r="U122" i="5"/>
  <c r="L122" i="5"/>
  <c r="M122" i="5" s="1"/>
  <c r="I122" i="5" s="1"/>
  <c r="R122" i="5" s="1"/>
  <c r="O122" i="5"/>
  <c r="J122" i="5" l="1"/>
  <c r="S122" i="5" s="1"/>
  <c r="P123" i="5"/>
  <c r="H122" i="5"/>
  <c r="N123" i="5" l="1"/>
  <c r="F123" i="5"/>
  <c r="Q122" i="5"/>
  <c r="W123" i="5" l="1"/>
  <c r="V123" i="5"/>
  <c r="X123" i="5"/>
  <c r="U123" i="5"/>
  <c r="O123" i="5"/>
  <c r="L123" i="5"/>
  <c r="M123" i="5" s="1"/>
  <c r="J123" i="5" s="1"/>
  <c r="S123" i="5" s="1"/>
  <c r="K123" i="5" l="1"/>
  <c r="T123" i="5" s="1"/>
  <c r="H123" i="5"/>
  <c r="I123" i="5"/>
  <c r="R123" i="5" s="1"/>
  <c r="P124" i="5"/>
  <c r="Q123" i="5"/>
  <c r="F124" i="5"/>
  <c r="N124" i="5"/>
  <c r="U124" i="5" l="1"/>
  <c r="I124" i="5"/>
  <c r="R124" i="5" s="1"/>
  <c r="V124" i="5"/>
  <c r="X124" i="5"/>
  <c r="W124" i="5"/>
  <c r="J124" i="5"/>
  <c r="S124" i="5" s="1"/>
  <c r="L124" i="5"/>
  <c r="M124" i="5" s="1"/>
  <c r="O124" i="5"/>
  <c r="H124" i="5" l="1"/>
  <c r="P125" i="5"/>
  <c r="K124" i="5"/>
  <c r="T124" i="5" s="1"/>
  <c r="Q124" i="5" l="1"/>
  <c r="N125" i="5"/>
  <c r="F125" i="5"/>
  <c r="L125" i="5" l="1"/>
  <c r="M125" i="5" s="1"/>
  <c r="O125" i="5"/>
  <c r="V125" i="5"/>
  <c r="X125" i="5"/>
  <c r="U125" i="5"/>
  <c r="W125" i="5"/>
  <c r="J125" i="5"/>
  <c r="S125" i="5" s="1"/>
  <c r="K125" i="5"/>
  <c r="T125" i="5" s="1"/>
  <c r="I125" i="5"/>
  <c r="R125" i="5" s="1"/>
  <c r="H125" i="5"/>
  <c r="Q125" i="5" l="1"/>
  <c r="N126" i="5"/>
  <c r="F126" i="5"/>
  <c r="P126" i="5"/>
  <c r="X126" i="5" l="1"/>
  <c r="W126" i="5"/>
  <c r="V126" i="5"/>
  <c r="U126" i="5"/>
  <c r="L126" i="5"/>
  <c r="M126" i="5" s="1"/>
  <c r="K126" i="5" s="1"/>
  <c r="T126" i="5" s="1"/>
  <c r="O126" i="5"/>
  <c r="I126" i="5" l="1"/>
  <c r="R126" i="5" s="1"/>
  <c r="J126" i="5"/>
  <c r="S126" i="5" s="1"/>
  <c r="P127" i="5"/>
  <c r="H126" i="5"/>
  <c r="F127" i="5" l="1"/>
  <c r="N127" i="5"/>
  <c r="Q126" i="5"/>
  <c r="L127" i="5" l="1"/>
  <c r="M127" i="5" s="1"/>
  <c r="O127" i="5"/>
  <c r="W127" i="5"/>
  <c r="X127" i="5"/>
  <c r="V127" i="5"/>
  <c r="U127" i="5"/>
  <c r="H127" i="5"/>
  <c r="K127" i="5"/>
  <c r="T127" i="5" s="1"/>
  <c r="J127" i="5"/>
  <c r="S127" i="5" s="1"/>
  <c r="I127" i="5"/>
  <c r="R127" i="5" s="1"/>
  <c r="F128" i="5" l="1"/>
  <c r="N128" i="5"/>
  <c r="Q127" i="5"/>
  <c r="P128" i="5"/>
  <c r="L128" i="5" l="1"/>
  <c r="M128" i="5" s="1"/>
  <c r="O128" i="5"/>
  <c r="J128" i="5"/>
  <c r="S128" i="5" s="1"/>
  <c r="U128" i="5"/>
  <c r="X128" i="5"/>
  <c r="V128" i="5"/>
  <c r="W128" i="5"/>
  <c r="I128" i="5"/>
  <c r="R128" i="5" s="1"/>
  <c r="H128" i="5"/>
  <c r="N129" i="5" l="1"/>
  <c r="Q128" i="5"/>
  <c r="K128" i="5"/>
  <c r="T128" i="5" s="1"/>
  <c r="P129" i="5"/>
  <c r="F129" i="5" l="1"/>
  <c r="L129" i="5"/>
  <c r="M129" i="5" s="1"/>
  <c r="O129" i="5"/>
  <c r="K129" i="5" l="1"/>
  <c r="T129" i="5" s="1"/>
  <c r="P130" i="5"/>
  <c r="V129" i="5"/>
  <c r="X129" i="5"/>
  <c r="U129" i="5"/>
  <c r="I129" i="5"/>
  <c r="R129" i="5" s="1"/>
  <c r="W129" i="5"/>
  <c r="H129" i="5"/>
  <c r="J129" i="5"/>
  <c r="S129" i="5" s="1"/>
  <c r="Q129" i="5" l="1"/>
  <c r="F130" i="5"/>
  <c r="N130" i="5"/>
  <c r="O130" i="5" l="1"/>
  <c r="L130" i="5"/>
  <c r="M130" i="5" s="1"/>
  <c r="U130" i="5"/>
  <c r="V130" i="5"/>
  <c r="X130" i="5"/>
  <c r="K130" i="5"/>
  <c r="T130" i="5" s="1"/>
  <c r="I130" i="5"/>
  <c r="R130" i="5" s="1"/>
  <c r="W130" i="5"/>
  <c r="H130" i="5"/>
  <c r="Q130" i="5" l="1"/>
  <c r="J130" i="5"/>
  <c r="S130" i="5" s="1"/>
  <c r="P131" i="5"/>
  <c r="F131" i="5" l="1"/>
  <c r="N131" i="5"/>
  <c r="O131" i="5"/>
  <c r="L131" i="5"/>
  <c r="M131" i="5" s="1"/>
  <c r="J131" i="5" l="1"/>
  <c r="S131" i="5" s="1"/>
  <c r="K131" i="5"/>
  <c r="T131" i="5" s="1"/>
  <c r="V131" i="5"/>
  <c r="W131" i="5"/>
  <c r="U131" i="5"/>
  <c r="X131" i="5"/>
  <c r="H131" i="5"/>
  <c r="P132" i="5"/>
  <c r="I131" i="5"/>
  <c r="R131" i="5" s="1"/>
  <c r="Q131" i="5" l="1"/>
  <c r="F132" i="5"/>
  <c r="N132" i="5"/>
  <c r="X132" i="5" l="1"/>
  <c r="V132" i="5"/>
  <c r="U132" i="5"/>
  <c r="W132" i="5"/>
  <c r="L132" i="5"/>
  <c r="M132" i="5" s="1"/>
  <c r="H132" i="5" s="1"/>
  <c r="O132" i="5"/>
  <c r="I132" i="5" l="1"/>
  <c r="R132" i="5" s="1"/>
  <c r="J132" i="5"/>
  <c r="S132" i="5" s="1"/>
  <c r="P133" i="5"/>
  <c r="K132" i="5"/>
  <c r="T132" i="5" s="1"/>
  <c r="N133" i="5"/>
  <c r="Q132" i="5"/>
  <c r="F133" i="5"/>
  <c r="L133" i="5" l="1"/>
  <c r="M133" i="5" s="1"/>
  <c r="O133" i="5"/>
  <c r="J133" i="5"/>
  <c r="S133" i="5" s="1"/>
  <c r="W133" i="5"/>
  <c r="X133" i="5"/>
  <c r="I133" i="5"/>
  <c r="R133" i="5" s="1"/>
  <c r="K133" i="5"/>
  <c r="T133" i="5" s="1"/>
  <c r="V133" i="5"/>
  <c r="U133" i="5"/>
  <c r="H133" i="5"/>
  <c r="F134" i="5" l="1"/>
  <c r="N134" i="5"/>
  <c r="Q133" i="5"/>
  <c r="P134" i="5"/>
  <c r="O134" i="5" l="1"/>
  <c r="L134" i="5"/>
  <c r="M134" i="5" s="1"/>
  <c r="U134" i="5"/>
  <c r="X134" i="5"/>
  <c r="V134" i="5"/>
  <c r="J134" i="5"/>
  <c r="S134" i="5" s="1"/>
  <c r="W134" i="5"/>
  <c r="I134" i="5"/>
  <c r="R134" i="5" s="1"/>
  <c r="K134" i="5"/>
  <c r="T134" i="5" s="1"/>
  <c r="H134" i="5" l="1"/>
  <c r="P135" i="5"/>
  <c r="N135" i="5" l="1"/>
  <c r="Q134" i="5"/>
  <c r="F135" i="5"/>
  <c r="W135" i="5" l="1"/>
  <c r="V135" i="5"/>
  <c r="X135" i="5"/>
  <c r="U135" i="5"/>
  <c r="I135" i="5"/>
  <c r="R135" i="5" s="1"/>
  <c r="O135" i="5"/>
  <c r="L135" i="5"/>
  <c r="M135" i="5" s="1"/>
  <c r="H135" i="5" s="1"/>
  <c r="J135" i="5" l="1"/>
  <c r="S135" i="5" s="1"/>
  <c r="Q135" i="5"/>
  <c r="N136" i="5"/>
  <c r="P136" i="5"/>
  <c r="K135" i="5"/>
  <c r="T135" i="5" s="1"/>
  <c r="F136" i="5" l="1"/>
  <c r="O136" i="5"/>
  <c r="L136" i="5"/>
  <c r="M136" i="5" s="1"/>
  <c r="P137" i="5" l="1"/>
  <c r="K136" i="5"/>
  <c r="T136" i="5" s="1"/>
  <c r="U136" i="5"/>
  <c r="W136" i="5"/>
  <c r="X136" i="5"/>
  <c r="V136" i="5"/>
  <c r="H136" i="5"/>
  <c r="J136" i="5"/>
  <c r="S136" i="5" s="1"/>
  <c r="I136" i="5"/>
  <c r="R136" i="5" s="1"/>
  <c r="Q136" i="5" l="1"/>
  <c r="F137" i="5"/>
  <c r="N137" i="5"/>
  <c r="L137" i="5" l="1"/>
  <c r="M137" i="5" s="1"/>
  <c r="O137" i="5"/>
  <c r="W137" i="5"/>
  <c r="U137" i="5"/>
  <c r="J137" i="5"/>
  <c r="S137" i="5" s="1"/>
  <c r="I137" i="5"/>
  <c r="R137" i="5" s="1"/>
  <c r="H137" i="5"/>
  <c r="X137" i="5"/>
  <c r="V137" i="5"/>
  <c r="K137" i="5"/>
  <c r="T137" i="5" s="1"/>
  <c r="Q137" i="5" l="1"/>
  <c r="N138" i="5"/>
  <c r="F138" i="5"/>
  <c r="P138" i="5"/>
  <c r="I138" i="5" l="1"/>
  <c r="R138" i="5" s="1"/>
  <c r="K138" i="5"/>
  <c r="T138" i="5" s="1"/>
  <c r="X138" i="5"/>
  <c r="W138" i="5"/>
  <c r="V138" i="5"/>
  <c r="U138" i="5"/>
  <c r="O138" i="5"/>
  <c r="L138" i="5"/>
  <c r="M138" i="5" s="1"/>
  <c r="J138" i="5" s="1"/>
  <c r="S138" i="5" s="1"/>
  <c r="P139" i="5" l="1"/>
  <c r="H138" i="5"/>
  <c r="N139" i="5" l="1"/>
  <c r="Q138" i="5"/>
  <c r="F139" i="5"/>
  <c r="V139" i="5" l="1"/>
  <c r="W139" i="5"/>
  <c r="X139" i="5"/>
  <c r="U139" i="5"/>
  <c r="O139" i="5"/>
  <c r="L139" i="5"/>
  <c r="M139" i="5" s="1"/>
  <c r="J139" i="5" s="1"/>
  <c r="S139" i="5" s="1"/>
  <c r="H139" i="5" l="1"/>
  <c r="K139" i="5"/>
  <c r="T139" i="5" s="1"/>
  <c r="I139" i="5"/>
  <c r="R139" i="5" s="1"/>
  <c r="P140" i="5"/>
  <c r="Q139" i="5"/>
  <c r="N140" i="5"/>
  <c r="F140" i="5"/>
  <c r="V140" i="5" l="1"/>
  <c r="W140" i="5"/>
  <c r="X140" i="5"/>
  <c r="U140" i="5"/>
  <c r="O140" i="5"/>
  <c r="L140" i="5"/>
  <c r="M140" i="5" s="1"/>
  <c r="H140" i="5" s="1"/>
  <c r="J140" i="5" l="1"/>
  <c r="S140" i="5" s="1"/>
  <c r="K140" i="5"/>
  <c r="T140" i="5" s="1"/>
  <c r="Q140" i="5"/>
  <c r="P141" i="5"/>
  <c r="I140" i="5"/>
  <c r="R140" i="5" s="1"/>
  <c r="N141" i="5" l="1"/>
  <c r="F141" i="5"/>
  <c r="X141" i="5" l="1"/>
  <c r="V141" i="5"/>
  <c r="U141" i="5"/>
  <c r="W141" i="5"/>
  <c r="O141" i="5"/>
  <c r="L141" i="5"/>
  <c r="M141" i="5" s="1"/>
  <c r="I141" i="5" s="1"/>
  <c r="R141" i="5" s="1"/>
  <c r="H141" i="5" l="1"/>
  <c r="Q141" i="5" s="1"/>
  <c r="K141" i="5"/>
  <c r="T141" i="5" s="1"/>
  <c r="P142" i="5"/>
  <c r="J141" i="5"/>
  <c r="S141" i="5" s="1"/>
  <c r="F142" i="5" l="1"/>
  <c r="N142" i="5"/>
  <c r="L142" i="5" l="1"/>
  <c r="M142" i="5" s="1"/>
  <c r="O142" i="5"/>
  <c r="I142" i="5"/>
  <c r="R142" i="5" s="1"/>
  <c r="H142" i="5"/>
  <c r="W142" i="5"/>
  <c r="U142" i="5"/>
  <c r="X142" i="5"/>
  <c r="V142" i="5"/>
  <c r="K142" i="5"/>
  <c r="T142" i="5" s="1"/>
  <c r="Q142" i="5" l="1"/>
  <c r="J142" i="5"/>
  <c r="S142" i="5" s="1"/>
  <c r="P143" i="5"/>
  <c r="F143" i="5" l="1"/>
  <c r="N143" i="5"/>
  <c r="X143" i="5" l="1"/>
  <c r="U143" i="5"/>
  <c r="V143" i="5"/>
  <c r="W143" i="5"/>
  <c r="O143" i="5"/>
  <c r="L143" i="5"/>
  <c r="M143" i="5" s="1"/>
  <c r="K143" i="5" s="1"/>
  <c r="T143" i="5" s="1"/>
  <c r="J143" i="5" l="1"/>
  <c r="S143" i="5" s="1"/>
  <c r="I143" i="5"/>
  <c r="R143" i="5" s="1"/>
  <c r="H143" i="5"/>
  <c r="F144" i="5" s="1"/>
  <c r="N144" i="5"/>
  <c r="P144" i="5"/>
  <c r="Q143" i="5" l="1"/>
  <c r="O144" i="5"/>
  <c r="L144" i="5"/>
  <c r="M144" i="5" s="1"/>
  <c r="I144" i="5"/>
  <c r="R144" i="5" s="1"/>
  <c r="W144" i="5"/>
  <c r="V144" i="5"/>
  <c r="X144" i="5"/>
  <c r="U144" i="5"/>
  <c r="H144" i="5"/>
  <c r="J144" i="5"/>
  <c r="S144" i="5" s="1"/>
  <c r="K144" i="5"/>
  <c r="T144" i="5" s="1"/>
  <c r="N145" i="5" l="1"/>
  <c r="F145" i="5"/>
  <c r="Q144" i="5"/>
  <c r="P145" i="5"/>
  <c r="X145" i="5" l="1"/>
  <c r="W145" i="5"/>
  <c r="J145" i="5"/>
  <c r="S145" i="5" s="1"/>
  <c r="U145" i="5"/>
  <c r="V145" i="5"/>
  <c r="I145" i="5"/>
  <c r="R145" i="5" s="1"/>
  <c r="O145" i="5"/>
  <c r="L145" i="5"/>
  <c r="M145" i="5" s="1"/>
  <c r="K145" i="5" s="1"/>
  <c r="T145" i="5" s="1"/>
  <c r="H145" i="5" l="1"/>
  <c r="Q145" i="5"/>
  <c r="N146" i="5"/>
  <c r="F146" i="5"/>
  <c r="P146" i="5"/>
  <c r="L146" i="5" l="1"/>
  <c r="M146" i="5" s="1"/>
  <c r="O146" i="5"/>
  <c r="H146" i="5"/>
  <c r="U146" i="5"/>
  <c r="K146" i="5"/>
  <c r="T146" i="5" s="1"/>
  <c r="W146" i="5"/>
  <c r="V146" i="5"/>
  <c r="J146" i="5"/>
  <c r="S146" i="5" s="1"/>
  <c r="X146" i="5"/>
  <c r="I146" i="5"/>
  <c r="R146" i="5" s="1"/>
  <c r="N147" i="5" l="1"/>
  <c r="Q146" i="5"/>
  <c r="F147" i="5"/>
  <c r="P147" i="5"/>
  <c r="H147" i="5" l="1"/>
  <c r="X147" i="5"/>
  <c r="V147" i="5"/>
  <c r="W147" i="5"/>
  <c r="U147" i="5"/>
  <c r="L147" i="5"/>
  <c r="M147" i="5" s="1"/>
  <c r="I147" i="5" s="1"/>
  <c r="R147" i="5" s="1"/>
  <c r="O147" i="5"/>
  <c r="J147" i="5" l="1"/>
  <c r="S147" i="5" s="1"/>
  <c r="K147" i="5"/>
  <c r="T147" i="5" s="1"/>
  <c r="P148" i="5"/>
  <c r="Q147" i="5"/>
  <c r="N148" i="5"/>
  <c r="F148" i="5" l="1"/>
  <c r="L148" i="5"/>
  <c r="M148" i="5" s="1"/>
  <c r="O148" i="5"/>
  <c r="U148" i="5"/>
  <c r="H148" i="5"/>
  <c r="V148" i="5"/>
  <c r="W148" i="5"/>
  <c r="K148" i="5"/>
  <c r="T148" i="5" s="1"/>
  <c r="X148" i="5"/>
  <c r="J148" i="5"/>
  <c r="S148" i="5" s="1"/>
  <c r="Q148" i="5" l="1"/>
  <c r="I148" i="5"/>
  <c r="R148" i="5" s="1"/>
  <c r="P149" i="5"/>
  <c r="N149" i="5" l="1"/>
  <c r="F149" i="5"/>
  <c r="L149" i="5"/>
  <c r="M149" i="5" s="1"/>
  <c r="P150" i="5" s="1"/>
  <c r="O149" i="5"/>
  <c r="K149" i="5" l="1"/>
  <c r="T149" i="5" s="1"/>
  <c r="V149" i="5"/>
  <c r="J149" i="5"/>
  <c r="S149" i="5" s="1"/>
  <c r="X149" i="5"/>
  <c r="U149" i="5"/>
  <c r="I149" i="5"/>
  <c r="R149" i="5" s="1"/>
  <c r="W149" i="5"/>
  <c r="H149" i="5"/>
  <c r="Q149" i="5" l="1"/>
  <c r="N150" i="5"/>
  <c r="F150" i="5"/>
  <c r="X150" i="5" l="1"/>
  <c r="V150" i="5"/>
  <c r="W150" i="5"/>
  <c r="K150" i="5"/>
  <c r="T150" i="5" s="1"/>
  <c r="U150" i="5"/>
  <c r="L150" i="5"/>
  <c r="M150" i="5" s="1"/>
  <c r="P151" i="5" s="1"/>
  <c r="C4" i="9" s="1"/>
  <c r="O150" i="5"/>
  <c r="J150" i="5" l="1"/>
  <c r="S150" i="5" s="1"/>
  <c r="H150" i="5"/>
  <c r="I150" i="5"/>
  <c r="R150" i="5" s="1"/>
  <c r="Q150" i="5"/>
  <c r="N151" i="5"/>
  <c r="F151" i="5"/>
  <c r="J151" i="5" l="1"/>
  <c r="S151" i="5" s="1"/>
  <c r="W151" i="5"/>
  <c r="W152" i="5" s="1"/>
  <c r="V151" i="5"/>
  <c r="V152" i="5" s="1"/>
  <c r="X151" i="5"/>
  <c r="X152" i="5" s="1"/>
  <c r="U151" i="5"/>
  <c r="O151" i="5"/>
  <c r="O152" i="5" s="1"/>
  <c r="O153" i="5" s="1"/>
  <c r="L151" i="5"/>
  <c r="M151" i="5" s="1"/>
  <c r="H151" i="5" s="1"/>
  <c r="Q151" i="5" s="1"/>
  <c r="C2" i="9"/>
  <c r="B3" i="8" s="1"/>
  <c r="N152" i="5"/>
  <c r="N154" i="5"/>
  <c r="C3" i="9"/>
  <c r="I151" i="5" l="1"/>
  <c r="R151" i="5" s="1"/>
  <c r="N153" i="5"/>
  <c r="V153" i="5"/>
  <c r="V155" i="5"/>
  <c r="X155" i="5"/>
  <c r="X153" i="5"/>
  <c r="W153" i="5"/>
  <c r="W155" i="5"/>
  <c r="K151" i="5"/>
  <c r="T151" i="5" s="1"/>
  <c r="T152" i="5" s="1"/>
  <c r="T153" i="5" s="1"/>
  <c r="C5" i="9"/>
  <c r="U152" i="5"/>
  <c r="U155" i="5" l="1"/>
  <c r="U153" i="5"/>
</calcChain>
</file>

<file path=xl/sharedStrings.xml><?xml version="1.0" encoding="utf-8"?>
<sst xmlns="http://schemas.openxmlformats.org/spreadsheetml/2006/main" count="130" uniqueCount="71">
  <si>
    <t>customer_id</t>
  </si>
  <si>
    <t>interarrival_time</t>
  </si>
  <si>
    <t>arrival_time</t>
  </si>
  <si>
    <t>random_number_service</t>
  </si>
  <si>
    <t>service_type</t>
  </si>
  <si>
    <t>assigned_teller</t>
  </si>
  <si>
    <t>service_time</t>
  </si>
  <si>
    <t>teller1_available_time</t>
  </si>
  <si>
    <t>teller2_available_time</t>
  </si>
  <si>
    <t>teller3_available_time</t>
  </si>
  <si>
    <t>service_start_time</t>
  </si>
  <si>
    <t>service_end_time</t>
  </si>
  <si>
    <t>waiting_time</t>
  </si>
  <si>
    <t>queue_length</t>
  </si>
  <si>
    <t>teller1_idle_time</t>
  </si>
  <si>
    <t>teller2_idle_time</t>
  </si>
  <si>
    <t>teller3_idle_time</t>
  </si>
  <si>
    <t>teller idle time:</t>
  </si>
  <si>
    <t>t1</t>
  </si>
  <si>
    <t>Idle time columns are included for performance analysis purposes.</t>
  </si>
  <si>
    <t>q_length_at_arrival:</t>
  </si>
  <si>
    <t>“Number of customers waiting in queue (excluding the one in service).”</t>
  </si>
  <si>
    <t>Parameter</t>
  </si>
  <si>
    <t>Number of tellers</t>
  </si>
  <si>
    <t>Arrival distribution</t>
  </si>
  <si>
    <t>teller4_available_time</t>
  </si>
  <si>
    <t>teller1_idle</t>
  </si>
  <si>
    <t>Base Case</t>
  </si>
  <si>
    <t>Scenario A</t>
  </si>
  <si>
    <t>Scenario B</t>
  </si>
  <si>
    <t>Arrival rate (cust/hour)</t>
  </si>
  <si>
    <t>Poisson</t>
  </si>
  <si>
    <t>Deposit service (min)</t>
  </si>
  <si>
    <t>Exp(5)</t>
  </si>
  <si>
    <t>Withdrawal service (min)</t>
  </si>
  <si>
    <t>Exp(6)</t>
  </si>
  <si>
    <t>Inquiry service (min)</t>
  </si>
  <si>
    <t>Exp(4)</t>
  </si>
  <si>
    <t>Loan service (min)</t>
  </si>
  <si>
    <t>Exp(12)</t>
  </si>
  <si>
    <t>Simulation horizon (min)</t>
  </si>
  <si>
    <t>sum</t>
  </si>
  <si>
    <t>avg</t>
  </si>
  <si>
    <t>wait(0,1)</t>
  </si>
  <si>
    <t>max</t>
  </si>
  <si>
    <t>utilization_tellers</t>
  </si>
  <si>
    <t>teller2_idle</t>
  </si>
  <si>
    <t>teller3_idle</t>
  </si>
  <si>
    <t>teller4_idle</t>
  </si>
  <si>
    <t>teller1_busy</t>
  </si>
  <si>
    <t>teller2_busy</t>
  </si>
  <si>
    <t>teller3_busy</t>
  </si>
  <si>
    <t>teller4_busy</t>
  </si>
  <si>
    <t>Performance Measure</t>
  </si>
  <si>
    <t>base case</t>
  </si>
  <si>
    <t>Average waiting time (min)</t>
  </si>
  <si>
    <t>Base Case (3 Tellers, λ=20/hr)</t>
  </si>
  <si>
    <t>Scenario A (4 Tellers, λ=20/hr)</t>
  </si>
  <si>
    <t>Scenario B (3 Tellers, λ=25/hr)</t>
  </si>
  <si>
    <t>Maximum Waiting Time (min)</t>
  </si>
  <si>
    <t>Average Queue Length</t>
  </si>
  <si>
    <t>Teller Utilization (%)</t>
  </si>
  <si>
    <t>Total customers served during 480 minutes</t>
  </si>
  <si>
    <t>Queue Length vs Time (Base Case)</t>
  </si>
  <si>
    <t>Scenario</t>
  </si>
  <si>
    <t>scenario A</t>
  </si>
  <si>
    <t>scenario B</t>
  </si>
  <si>
    <t>Avarage waiting time</t>
  </si>
  <si>
    <t>Average Waiting Time Comparison</t>
  </si>
  <si>
    <t>Queue Length vs Time (Scnario A)</t>
  </si>
  <si>
    <t>Queue Length vs Time (Scnario 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</si>
</sst>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Aptos Narrow"/>
      <charset val="134"/>
      <scheme val="minor"/>
    </font>
    <font>
      <sz val="13"/>
      <color theme="1"/>
      <name val="Aptos Narrow"/>
      <charset val="134"/>
      <scheme val="minor"/>
    </font>
    <font>
      <sz val="13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color indexed="8"/>
      <name val="Amasis MT Pro"/>
      <family val="1"/>
    </font>
    <font>
      <sz val="11"/>
      <color theme="1"/>
      <name val="Amasis MT Pro"/>
      <family val="1"/>
    </font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2" fontId="2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2" fontId="5" fillId="0" borderId="0" xfId="0" applyNumberFormat="1" applyFont="1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9" fontId="0" fillId="0" borderId="0" xfId="1" applyFont="1"/>
    <xf numFmtId="9" fontId="1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879947572628709"/>
          <c:y val="0.16470887304657725"/>
          <c:w val="0.4746855920945961"/>
          <c:h val="0.68485886682247887"/>
        </c:manualLayout>
      </c:layout>
      <c:pieChart>
        <c:varyColors val="1"/>
        <c:ser>
          <c:idx val="0"/>
          <c:order val="0"/>
          <c:tx>
            <c:strRef>
              <c:f>charts!$B$1</c:f>
              <c:strCache>
                <c:ptCount val="1"/>
                <c:pt idx="0">
                  <c:v>Avarage waiting time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00-4C36-B179-1DA58DFE40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00-4C36-B179-1DA58DFE40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00-4C36-B179-1DA58DFE40A3}"/>
              </c:ext>
            </c:extLst>
          </c:dPt>
          <c:cat>
            <c:strRef>
              <c:f>charts!$A$2:$A$4</c:f>
              <c:strCache>
                <c:ptCount val="3"/>
                <c:pt idx="0">
                  <c:v>base case</c:v>
                </c:pt>
                <c:pt idx="1">
                  <c:v>scenario A</c:v>
                </c:pt>
                <c:pt idx="2">
                  <c:v>scenario B</c:v>
                </c:pt>
              </c:strCache>
            </c:strRef>
          </c:cat>
          <c:val>
            <c:numRef>
              <c:f>charts!$B$2:$B$4</c:f>
              <c:numCache>
                <c:formatCode>General</c:formatCode>
                <c:ptCount val="3"/>
                <c:pt idx="0">
                  <c:v>2.4495102505967896</c:v>
                </c:pt>
                <c:pt idx="1">
                  <c:v>0.58534962144056923</c:v>
                </c:pt>
                <c:pt idx="2">
                  <c:v>1.1773003803638422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5-4368-B9BF-81E291B22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BaseCase_simulation!$O$1</c:f>
              <c:strCache>
                <c:ptCount val="1"/>
                <c:pt idx="0">
                  <c:v>queue_length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BaseCase_simulation!$C$2:$C$374</c:f>
              <c:numCache>
                <c:formatCode>0.00</c:formatCode>
                <c:ptCount val="373"/>
                <c:pt idx="0" formatCode="General">
                  <c:v>0</c:v>
                </c:pt>
                <c:pt idx="1">
                  <c:v>0.81049881951501646</c:v>
                </c:pt>
                <c:pt idx="2">
                  <c:v>1.7113068802697515</c:v>
                </c:pt>
                <c:pt idx="3">
                  <c:v>2.4789799760608973</c:v>
                </c:pt>
                <c:pt idx="4">
                  <c:v>6.9799904674180322</c:v>
                </c:pt>
                <c:pt idx="5">
                  <c:v>7.2472770250601091</c:v>
                </c:pt>
                <c:pt idx="6">
                  <c:v>8.7440133939385554</c:v>
                </c:pt>
                <c:pt idx="7">
                  <c:v>10.716321613299879</c:v>
                </c:pt>
                <c:pt idx="8">
                  <c:v>11.341493613547939</c:v>
                </c:pt>
                <c:pt idx="9">
                  <c:v>12.135090619475518</c:v>
                </c:pt>
                <c:pt idx="10">
                  <c:v>16.698001468819641</c:v>
                </c:pt>
                <c:pt idx="11">
                  <c:v>16.9343582607362</c:v>
                </c:pt>
                <c:pt idx="12">
                  <c:v>17.645460312528449</c:v>
                </c:pt>
                <c:pt idx="13">
                  <c:v>22.350318199364555</c:v>
                </c:pt>
                <c:pt idx="14">
                  <c:v>24.039876227116476</c:v>
                </c:pt>
                <c:pt idx="15">
                  <c:v>26.891392764567097</c:v>
                </c:pt>
                <c:pt idx="16">
                  <c:v>29.061035101946192</c:v>
                </c:pt>
                <c:pt idx="17">
                  <c:v>29.299402086579832</c:v>
                </c:pt>
                <c:pt idx="18">
                  <c:v>35.647895060459263</c:v>
                </c:pt>
                <c:pt idx="19">
                  <c:v>36.890773763561683</c:v>
                </c:pt>
                <c:pt idx="20">
                  <c:v>41.892252451802641</c:v>
                </c:pt>
                <c:pt idx="21">
                  <c:v>45.95698969328312</c:v>
                </c:pt>
                <c:pt idx="22">
                  <c:v>46.209586322922817</c:v>
                </c:pt>
                <c:pt idx="23">
                  <c:v>46.390431779376229</c:v>
                </c:pt>
                <c:pt idx="24">
                  <c:v>47.695744652013083</c:v>
                </c:pt>
                <c:pt idx="25">
                  <c:v>53.398958643067971</c:v>
                </c:pt>
                <c:pt idx="26">
                  <c:v>54.840796082993776</c:v>
                </c:pt>
                <c:pt idx="27">
                  <c:v>55.180192734168038</c:v>
                </c:pt>
                <c:pt idx="28">
                  <c:v>60.130510070120359</c:v>
                </c:pt>
                <c:pt idx="29">
                  <c:v>61.593062239191603</c:v>
                </c:pt>
                <c:pt idx="30">
                  <c:v>62.620128107347341</c:v>
                </c:pt>
                <c:pt idx="31">
                  <c:v>63.159495601491784</c:v>
                </c:pt>
                <c:pt idx="32">
                  <c:v>64.29347937045479</c:v>
                </c:pt>
                <c:pt idx="33">
                  <c:v>72.429559692277408</c:v>
                </c:pt>
                <c:pt idx="34">
                  <c:v>75.351837105133484</c:v>
                </c:pt>
                <c:pt idx="35">
                  <c:v>77.100697608416453</c:v>
                </c:pt>
                <c:pt idx="36">
                  <c:v>82.314838320040636</c:v>
                </c:pt>
                <c:pt idx="37">
                  <c:v>84.899725981518642</c:v>
                </c:pt>
                <c:pt idx="38">
                  <c:v>89.587958913695303</c:v>
                </c:pt>
                <c:pt idx="39">
                  <c:v>100.35294953634495</c:v>
                </c:pt>
                <c:pt idx="40">
                  <c:v>102.32103065479585</c:v>
                </c:pt>
                <c:pt idx="41">
                  <c:v>104.79012481545612</c:v>
                </c:pt>
                <c:pt idx="42">
                  <c:v>104.84498450381561</c:v>
                </c:pt>
                <c:pt idx="43">
                  <c:v>104.86257951167855</c:v>
                </c:pt>
                <c:pt idx="44">
                  <c:v>106.28149372299225</c:v>
                </c:pt>
                <c:pt idx="45">
                  <c:v>115.09694570981517</c:v>
                </c:pt>
                <c:pt idx="46">
                  <c:v>115.34021985596878</c:v>
                </c:pt>
                <c:pt idx="47">
                  <c:v>116.38722817581163</c:v>
                </c:pt>
                <c:pt idx="48">
                  <c:v>116.47841781459758</c:v>
                </c:pt>
                <c:pt idx="49">
                  <c:v>116.52745618159823</c:v>
                </c:pt>
                <c:pt idx="50">
                  <c:v>117.32725748159901</c:v>
                </c:pt>
                <c:pt idx="51">
                  <c:v>119.3454900914398</c:v>
                </c:pt>
                <c:pt idx="52">
                  <c:v>120.69921488713457</c:v>
                </c:pt>
                <c:pt idx="53">
                  <c:v>128.23759015774527</c:v>
                </c:pt>
                <c:pt idx="54">
                  <c:v>132.41913551990046</c:v>
                </c:pt>
                <c:pt idx="55">
                  <c:v>137.76669165864345</c:v>
                </c:pt>
                <c:pt idx="56">
                  <c:v>148.86594199945893</c:v>
                </c:pt>
                <c:pt idx="57">
                  <c:v>152.45471788554681</c:v>
                </c:pt>
                <c:pt idx="58">
                  <c:v>153.6546478309323</c:v>
                </c:pt>
                <c:pt idx="59">
                  <c:v>154.28962718422946</c:v>
                </c:pt>
                <c:pt idx="60">
                  <c:v>159.93328941213585</c:v>
                </c:pt>
                <c:pt idx="61">
                  <c:v>160.26059552636994</c:v>
                </c:pt>
                <c:pt idx="62">
                  <c:v>160.63835318290936</c:v>
                </c:pt>
                <c:pt idx="63">
                  <c:v>165.67642021431152</c:v>
                </c:pt>
                <c:pt idx="64">
                  <c:v>169.95299729670026</c:v>
                </c:pt>
                <c:pt idx="65">
                  <c:v>171.69697204597918</c:v>
                </c:pt>
                <c:pt idx="66">
                  <c:v>175.36334097750694</c:v>
                </c:pt>
                <c:pt idx="67">
                  <c:v>182.20127264851277</c:v>
                </c:pt>
                <c:pt idx="68">
                  <c:v>184.75076857638228</c:v>
                </c:pt>
                <c:pt idx="69">
                  <c:v>195.92834440247015</c:v>
                </c:pt>
                <c:pt idx="70">
                  <c:v>197.54577667986877</c:v>
                </c:pt>
                <c:pt idx="71">
                  <c:v>198.54015631158939</c:v>
                </c:pt>
                <c:pt idx="72">
                  <c:v>206.83553984331712</c:v>
                </c:pt>
                <c:pt idx="73">
                  <c:v>209.91280149462068</c:v>
                </c:pt>
                <c:pt idx="74">
                  <c:v>212.33064069182831</c:v>
                </c:pt>
                <c:pt idx="75">
                  <c:v>214.72853258867673</c:v>
                </c:pt>
                <c:pt idx="76">
                  <c:v>215.06729544516543</c:v>
                </c:pt>
                <c:pt idx="77">
                  <c:v>215.67875590030036</c:v>
                </c:pt>
                <c:pt idx="78">
                  <c:v>218.06868247158752</c:v>
                </c:pt>
                <c:pt idx="79">
                  <c:v>219.56604215132697</c:v>
                </c:pt>
                <c:pt idx="80">
                  <c:v>221.84681634480555</c:v>
                </c:pt>
                <c:pt idx="81">
                  <c:v>227.85037145720347</c:v>
                </c:pt>
                <c:pt idx="82">
                  <c:v>233.14500602046857</c:v>
                </c:pt>
                <c:pt idx="83">
                  <c:v>234.31249316986842</c:v>
                </c:pt>
                <c:pt idx="84">
                  <c:v>234.55143561008865</c:v>
                </c:pt>
                <c:pt idx="85">
                  <c:v>234.59402975702258</c:v>
                </c:pt>
                <c:pt idx="86">
                  <c:v>235.37719643810127</c:v>
                </c:pt>
                <c:pt idx="87">
                  <c:v>238.08144963653595</c:v>
                </c:pt>
                <c:pt idx="88">
                  <c:v>238.67502258787442</c:v>
                </c:pt>
                <c:pt idx="89">
                  <c:v>239.49134100813629</c:v>
                </c:pt>
                <c:pt idx="90">
                  <c:v>241.39408430594136</c:v>
                </c:pt>
                <c:pt idx="91">
                  <c:v>241.89435685023275</c:v>
                </c:pt>
                <c:pt idx="92">
                  <c:v>243.93162457231676</c:v>
                </c:pt>
                <c:pt idx="93">
                  <c:v>247.74870073073592</c:v>
                </c:pt>
                <c:pt idx="94">
                  <c:v>249.68365797192152</c:v>
                </c:pt>
                <c:pt idx="95">
                  <c:v>251.14320812649132</c:v>
                </c:pt>
                <c:pt idx="96">
                  <c:v>251.38803441612293</c:v>
                </c:pt>
                <c:pt idx="97">
                  <c:v>252.50830042640064</c:v>
                </c:pt>
                <c:pt idx="98">
                  <c:v>253.28836405714196</c:v>
                </c:pt>
                <c:pt idx="99">
                  <c:v>253.37986000852368</c:v>
                </c:pt>
                <c:pt idx="100">
                  <c:v>256.42825339950701</c:v>
                </c:pt>
                <c:pt idx="101">
                  <c:v>256.61666529749721</c:v>
                </c:pt>
                <c:pt idx="102">
                  <c:v>259.16337373775536</c:v>
                </c:pt>
                <c:pt idx="103">
                  <c:v>260.58757116048781</c:v>
                </c:pt>
                <c:pt idx="104">
                  <c:v>261.76504563886209</c:v>
                </c:pt>
                <c:pt idx="105">
                  <c:v>262.66973754717009</c:v>
                </c:pt>
                <c:pt idx="106">
                  <c:v>265.97328808838637</c:v>
                </c:pt>
                <c:pt idx="107">
                  <c:v>269.27486293293111</c:v>
                </c:pt>
                <c:pt idx="108">
                  <c:v>271.8416323061773</c:v>
                </c:pt>
                <c:pt idx="109">
                  <c:v>273.90817726386979</c:v>
                </c:pt>
                <c:pt idx="110">
                  <c:v>274.58989951327322</c:v>
                </c:pt>
                <c:pt idx="111">
                  <c:v>275.53958677147745</c:v>
                </c:pt>
                <c:pt idx="112">
                  <c:v>281.81917811609304</c:v>
                </c:pt>
                <c:pt idx="113">
                  <c:v>290.63152459509803</c:v>
                </c:pt>
                <c:pt idx="114">
                  <c:v>294.10474957171903</c:v>
                </c:pt>
                <c:pt idx="115">
                  <c:v>296.76169328982269</c:v>
                </c:pt>
                <c:pt idx="116">
                  <c:v>298.9167390278206</c:v>
                </c:pt>
                <c:pt idx="117">
                  <c:v>301.51218826138097</c:v>
                </c:pt>
                <c:pt idx="118">
                  <c:v>307.22486300426652</c:v>
                </c:pt>
                <c:pt idx="119">
                  <c:v>311.51106349868508</c:v>
                </c:pt>
                <c:pt idx="120">
                  <c:v>314.06122397527344</c:v>
                </c:pt>
                <c:pt idx="121">
                  <c:v>318.24803599436734</c:v>
                </c:pt>
                <c:pt idx="122">
                  <c:v>319.38691576749494</c:v>
                </c:pt>
                <c:pt idx="123">
                  <c:v>319.8441499713079</c:v>
                </c:pt>
                <c:pt idx="124">
                  <c:v>320.10405289977467</c:v>
                </c:pt>
                <c:pt idx="125">
                  <c:v>322.06751671491924</c:v>
                </c:pt>
                <c:pt idx="126">
                  <c:v>326.56176980025793</c:v>
                </c:pt>
                <c:pt idx="127">
                  <c:v>328.8302384865155</c:v>
                </c:pt>
                <c:pt idx="128">
                  <c:v>329.44728862340304</c:v>
                </c:pt>
                <c:pt idx="129">
                  <c:v>330.66048522125675</c:v>
                </c:pt>
                <c:pt idx="130">
                  <c:v>331.50617755767399</c:v>
                </c:pt>
                <c:pt idx="131">
                  <c:v>339.9708027094818</c:v>
                </c:pt>
                <c:pt idx="132">
                  <c:v>340.97804433789253</c:v>
                </c:pt>
                <c:pt idx="133">
                  <c:v>342.85503475139376</c:v>
                </c:pt>
                <c:pt idx="134">
                  <c:v>344.89787958491854</c:v>
                </c:pt>
                <c:pt idx="135">
                  <c:v>345.24908264257067</c:v>
                </c:pt>
                <c:pt idx="136">
                  <c:v>352.23200926847812</c:v>
                </c:pt>
                <c:pt idx="137">
                  <c:v>354.86228786764445</c:v>
                </c:pt>
                <c:pt idx="138">
                  <c:v>357.73153837006834</c:v>
                </c:pt>
                <c:pt idx="139">
                  <c:v>360.45640127631367</c:v>
                </c:pt>
                <c:pt idx="140">
                  <c:v>368.79700146622548</c:v>
                </c:pt>
                <c:pt idx="141">
                  <c:v>372.17205856230248</c:v>
                </c:pt>
                <c:pt idx="142">
                  <c:v>374.6746465466926</c:v>
                </c:pt>
                <c:pt idx="143">
                  <c:v>375.97504662421937</c:v>
                </c:pt>
                <c:pt idx="144">
                  <c:v>381.70488294760816</c:v>
                </c:pt>
                <c:pt idx="145">
                  <c:v>382.4300394907288</c:v>
                </c:pt>
                <c:pt idx="146">
                  <c:v>389.19860663175541</c:v>
                </c:pt>
                <c:pt idx="147">
                  <c:v>391.61310269601279</c:v>
                </c:pt>
                <c:pt idx="148">
                  <c:v>392.58111542118837</c:v>
                </c:pt>
                <c:pt idx="149">
                  <c:v>392.80887113409204</c:v>
                </c:pt>
                <c:pt idx="150">
                  <c:v>393.3079617136039</c:v>
                </c:pt>
                <c:pt idx="151">
                  <c:v>395.27748217657307</c:v>
                </c:pt>
                <c:pt idx="152">
                  <c:v>396.48725014432989</c:v>
                </c:pt>
                <c:pt idx="153">
                  <c:v>399.47482456234599</c:v>
                </c:pt>
                <c:pt idx="154">
                  <c:v>400.42194412097899</c:v>
                </c:pt>
                <c:pt idx="155">
                  <c:v>402.55054709787646</c:v>
                </c:pt>
                <c:pt idx="156">
                  <c:v>405.45670631525604</c:v>
                </c:pt>
                <c:pt idx="157">
                  <c:v>408.96538053030957</c:v>
                </c:pt>
                <c:pt idx="158">
                  <c:v>409.26255106505215</c:v>
                </c:pt>
                <c:pt idx="159">
                  <c:v>412.92887987003297</c:v>
                </c:pt>
              </c:numCache>
            </c:numRef>
          </c:xVal>
          <c:yVal>
            <c:numRef>
              <c:f>BaseCase_simulation!$O$2:$O$374</c:f>
              <c:numCache>
                <c:formatCode>General</c:formatCode>
                <c:ptCount val="3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9</c:v>
                </c:pt>
                <c:pt idx="18">
                  <c:v>6</c:v>
                </c:pt>
                <c:pt idx="19">
                  <c:v>7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4</c:v>
                </c:pt>
                <c:pt idx="25">
                  <c:v>0</c:v>
                </c:pt>
                <c:pt idx="26">
                  <c:v>1</c:v>
                </c:pt>
                <c:pt idx="27">
                  <c:v>2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3</c:v>
                </c:pt>
                <c:pt idx="33">
                  <c:v>0</c:v>
                </c:pt>
                <c:pt idx="34">
                  <c:v>1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3</c:v>
                </c:pt>
                <c:pt idx="42">
                  <c:v>4</c:v>
                </c:pt>
                <c:pt idx="43">
                  <c:v>5</c:v>
                </c:pt>
                <c:pt idx="44">
                  <c:v>5</c:v>
                </c:pt>
                <c:pt idx="45">
                  <c:v>2</c:v>
                </c:pt>
                <c:pt idx="46">
                  <c:v>3</c:v>
                </c:pt>
                <c:pt idx="47">
                  <c:v>4</c:v>
                </c:pt>
                <c:pt idx="48">
                  <c:v>5</c:v>
                </c:pt>
                <c:pt idx="49">
                  <c:v>6</c:v>
                </c:pt>
                <c:pt idx="50">
                  <c:v>6</c:v>
                </c:pt>
                <c:pt idx="51">
                  <c:v>7</c:v>
                </c:pt>
                <c:pt idx="52">
                  <c:v>7</c:v>
                </c:pt>
                <c:pt idx="53">
                  <c:v>3</c:v>
                </c:pt>
                <c:pt idx="54">
                  <c:v>2</c:v>
                </c:pt>
                <c:pt idx="55">
                  <c:v>3</c:v>
                </c:pt>
                <c:pt idx="56">
                  <c:v>1</c:v>
                </c:pt>
                <c:pt idx="57">
                  <c:v>0</c:v>
                </c:pt>
                <c:pt idx="58">
                  <c:v>1</c:v>
                </c:pt>
                <c:pt idx="59">
                  <c:v>2</c:v>
                </c:pt>
                <c:pt idx="60">
                  <c:v>1</c:v>
                </c:pt>
                <c:pt idx="61">
                  <c:v>2</c:v>
                </c:pt>
                <c:pt idx="62">
                  <c:v>3</c:v>
                </c:pt>
                <c:pt idx="63">
                  <c:v>2</c:v>
                </c:pt>
                <c:pt idx="64">
                  <c:v>3</c:v>
                </c:pt>
                <c:pt idx="65">
                  <c:v>3</c:v>
                </c:pt>
                <c:pt idx="66">
                  <c:v>4</c:v>
                </c:pt>
                <c:pt idx="67">
                  <c:v>2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2</c:v>
                </c:pt>
                <c:pt idx="76">
                  <c:v>3</c:v>
                </c:pt>
                <c:pt idx="77">
                  <c:v>4</c:v>
                </c:pt>
                <c:pt idx="78">
                  <c:v>2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2</c:v>
                </c:pt>
                <c:pt idx="83">
                  <c:v>1</c:v>
                </c:pt>
                <c:pt idx="84">
                  <c:v>2</c:v>
                </c:pt>
                <c:pt idx="85">
                  <c:v>3</c:v>
                </c:pt>
                <c:pt idx="86">
                  <c:v>4</c:v>
                </c:pt>
                <c:pt idx="87">
                  <c:v>4</c:v>
                </c:pt>
                <c:pt idx="88">
                  <c:v>3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3</c:v>
                </c:pt>
                <c:pt idx="94">
                  <c:v>2</c:v>
                </c:pt>
                <c:pt idx="95">
                  <c:v>3</c:v>
                </c:pt>
                <c:pt idx="96">
                  <c:v>4</c:v>
                </c:pt>
                <c:pt idx="97">
                  <c:v>5</c:v>
                </c:pt>
                <c:pt idx="98">
                  <c:v>5</c:v>
                </c:pt>
                <c:pt idx="99">
                  <c:v>6</c:v>
                </c:pt>
                <c:pt idx="100">
                  <c:v>6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8</c:v>
                </c:pt>
                <c:pt idx="106">
                  <c:v>8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7</c:v>
                </c:pt>
                <c:pt idx="111">
                  <c:v>8</c:v>
                </c:pt>
                <c:pt idx="112">
                  <c:v>7</c:v>
                </c:pt>
                <c:pt idx="113">
                  <c:v>2</c:v>
                </c:pt>
                <c:pt idx="114">
                  <c:v>2</c:v>
                </c:pt>
                <c:pt idx="115">
                  <c:v>1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3</c:v>
                </c:pt>
                <c:pt idx="124">
                  <c:v>4</c:v>
                </c:pt>
                <c:pt idx="125">
                  <c:v>4</c:v>
                </c:pt>
                <c:pt idx="126">
                  <c:v>2</c:v>
                </c:pt>
                <c:pt idx="127">
                  <c:v>2</c:v>
                </c:pt>
                <c:pt idx="128">
                  <c:v>3</c:v>
                </c:pt>
                <c:pt idx="129">
                  <c:v>2</c:v>
                </c:pt>
                <c:pt idx="130">
                  <c:v>3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2</c:v>
                </c:pt>
                <c:pt idx="135">
                  <c:v>3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0</c:v>
                </c:pt>
                <c:pt idx="141">
                  <c:v>1</c:v>
                </c:pt>
                <c:pt idx="142">
                  <c:v>1</c:v>
                </c:pt>
                <c:pt idx="143">
                  <c:v>2</c:v>
                </c:pt>
                <c:pt idx="144">
                  <c:v>1</c:v>
                </c:pt>
                <c:pt idx="145">
                  <c:v>2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1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1</c:v>
                </c:pt>
                <c:pt idx="154">
                  <c:v>2</c:v>
                </c:pt>
                <c:pt idx="155">
                  <c:v>2</c:v>
                </c:pt>
                <c:pt idx="156">
                  <c:v>3</c:v>
                </c:pt>
                <c:pt idx="157">
                  <c:v>2</c:v>
                </c:pt>
                <c:pt idx="158">
                  <c:v>3</c:v>
                </c:pt>
                <c:pt idx="15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46-45F4-9562-E039067AE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705919"/>
        <c:axId val="462714559"/>
      </c:scatterChart>
      <c:valAx>
        <c:axId val="462705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714559"/>
        <c:crosses val="autoZero"/>
        <c:crossBetween val="midCat"/>
      </c:valAx>
      <c:valAx>
        <c:axId val="46271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705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Scenario_A!$P$1</c:f>
              <c:strCache>
                <c:ptCount val="1"/>
                <c:pt idx="0">
                  <c:v>queue_length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Scenario_A!$C$2:$C$155</c:f>
              <c:numCache>
                <c:formatCode>0.00</c:formatCode>
                <c:ptCount val="154"/>
                <c:pt idx="0" formatCode="General">
                  <c:v>0</c:v>
                </c:pt>
                <c:pt idx="1">
                  <c:v>15.766975969484321</c:v>
                </c:pt>
                <c:pt idx="2">
                  <c:v>20.031248843098076</c:v>
                </c:pt>
                <c:pt idx="3">
                  <c:v>22.12109639937119</c:v>
                </c:pt>
                <c:pt idx="4">
                  <c:v>25.351671147181978</c:v>
                </c:pt>
                <c:pt idx="5">
                  <c:v>27.095577003290437</c:v>
                </c:pt>
                <c:pt idx="6">
                  <c:v>27.51037202374815</c:v>
                </c:pt>
                <c:pt idx="7">
                  <c:v>28.886471992997489</c:v>
                </c:pt>
                <c:pt idx="8">
                  <c:v>29.244402553687955</c:v>
                </c:pt>
                <c:pt idx="9">
                  <c:v>42.926555820190742</c:v>
                </c:pt>
                <c:pt idx="10">
                  <c:v>44.926772114796279</c:v>
                </c:pt>
                <c:pt idx="11">
                  <c:v>45.277730847487895</c:v>
                </c:pt>
                <c:pt idx="12">
                  <c:v>48.76665049622256</c:v>
                </c:pt>
                <c:pt idx="13">
                  <c:v>52.12674835247762</c:v>
                </c:pt>
                <c:pt idx="14">
                  <c:v>55.047806409965204</c:v>
                </c:pt>
                <c:pt idx="15">
                  <c:v>56.536558569891007</c:v>
                </c:pt>
                <c:pt idx="16">
                  <c:v>58.03748267337668</c:v>
                </c:pt>
                <c:pt idx="17">
                  <c:v>59.008391545924113</c:v>
                </c:pt>
                <c:pt idx="18">
                  <c:v>63.218937552737884</c:v>
                </c:pt>
                <c:pt idx="19">
                  <c:v>64.654265112178322</c:v>
                </c:pt>
                <c:pt idx="20">
                  <c:v>66.389832921313428</c:v>
                </c:pt>
                <c:pt idx="21">
                  <c:v>71.204344431110528</c:v>
                </c:pt>
                <c:pt idx="22">
                  <c:v>73.751463370366096</c:v>
                </c:pt>
                <c:pt idx="23">
                  <c:v>80.600168941267825</c:v>
                </c:pt>
                <c:pt idx="24">
                  <c:v>86.859830931930787</c:v>
                </c:pt>
                <c:pt idx="25">
                  <c:v>87.590974331329022</c:v>
                </c:pt>
                <c:pt idx="26">
                  <c:v>89.137810609469128</c:v>
                </c:pt>
                <c:pt idx="27">
                  <c:v>90.392061535655344</c:v>
                </c:pt>
                <c:pt idx="28">
                  <c:v>95.565592138380595</c:v>
                </c:pt>
                <c:pt idx="29">
                  <c:v>96.74533040848047</c:v>
                </c:pt>
                <c:pt idx="30">
                  <c:v>98.059549184307912</c:v>
                </c:pt>
                <c:pt idx="31">
                  <c:v>109.52609991201626</c:v>
                </c:pt>
                <c:pt idx="32">
                  <c:v>115.26418740809993</c:v>
                </c:pt>
                <c:pt idx="33">
                  <c:v>117.16053915283484</c:v>
                </c:pt>
                <c:pt idx="34">
                  <c:v>122.99426726282421</c:v>
                </c:pt>
                <c:pt idx="35">
                  <c:v>125.33592471569533</c:v>
                </c:pt>
                <c:pt idx="36">
                  <c:v>125.99021892635176</c:v>
                </c:pt>
                <c:pt idx="37">
                  <c:v>126.48107186045793</c:v>
                </c:pt>
                <c:pt idx="38">
                  <c:v>129.29529176795259</c:v>
                </c:pt>
                <c:pt idx="39">
                  <c:v>131.2414716779609</c:v>
                </c:pt>
                <c:pt idx="40">
                  <c:v>132.92531231275021</c:v>
                </c:pt>
                <c:pt idx="41">
                  <c:v>134.51974373358408</c:v>
                </c:pt>
                <c:pt idx="42">
                  <c:v>143.66196897332298</c:v>
                </c:pt>
                <c:pt idx="43">
                  <c:v>144.0676300373141</c:v>
                </c:pt>
                <c:pt idx="44">
                  <c:v>153.30168255630545</c:v>
                </c:pt>
                <c:pt idx="45">
                  <c:v>155.295994704093</c:v>
                </c:pt>
                <c:pt idx="46">
                  <c:v>156.45484763908988</c:v>
                </c:pt>
                <c:pt idx="47">
                  <c:v>163.74920561887805</c:v>
                </c:pt>
                <c:pt idx="48">
                  <c:v>165.06952818082436</c:v>
                </c:pt>
                <c:pt idx="49">
                  <c:v>165.37315300998625</c:v>
                </c:pt>
                <c:pt idx="50">
                  <c:v>168.49345161573618</c:v>
                </c:pt>
                <c:pt idx="51">
                  <c:v>169.74510031360751</c:v>
                </c:pt>
                <c:pt idx="52">
                  <c:v>170.68314758357792</c:v>
                </c:pt>
                <c:pt idx="53">
                  <c:v>176.24161178622961</c:v>
                </c:pt>
                <c:pt idx="54">
                  <c:v>177.09783466356137</c:v>
                </c:pt>
                <c:pt idx="55">
                  <c:v>187.71754941602509</c:v>
                </c:pt>
                <c:pt idx="56">
                  <c:v>189.91193311173845</c:v>
                </c:pt>
                <c:pt idx="57">
                  <c:v>190.90067313819299</c:v>
                </c:pt>
                <c:pt idx="58">
                  <c:v>191.90425287456497</c:v>
                </c:pt>
                <c:pt idx="59">
                  <c:v>193.41517464528485</c:v>
                </c:pt>
                <c:pt idx="60">
                  <c:v>199.44089890798762</c:v>
                </c:pt>
                <c:pt idx="61">
                  <c:v>203.77198951208413</c:v>
                </c:pt>
                <c:pt idx="62">
                  <c:v>216.00276493549728</c:v>
                </c:pt>
                <c:pt idx="63">
                  <c:v>216.2290655861346</c:v>
                </c:pt>
                <c:pt idx="64">
                  <c:v>217.05922658234917</c:v>
                </c:pt>
                <c:pt idx="65">
                  <c:v>218.20488141232173</c:v>
                </c:pt>
                <c:pt idx="66">
                  <c:v>221.43638002550512</c:v>
                </c:pt>
                <c:pt idx="67">
                  <c:v>222.265410767796</c:v>
                </c:pt>
                <c:pt idx="68">
                  <c:v>222.77651910120954</c:v>
                </c:pt>
                <c:pt idx="69">
                  <c:v>223.22845300079328</c:v>
                </c:pt>
                <c:pt idx="70">
                  <c:v>225.91170284144127</c:v>
                </c:pt>
                <c:pt idx="71">
                  <c:v>226.47809310810047</c:v>
                </c:pt>
                <c:pt idx="72">
                  <c:v>230.58050367121228</c:v>
                </c:pt>
                <c:pt idx="73">
                  <c:v>231.08094627012579</c:v>
                </c:pt>
                <c:pt idx="74">
                  <c:v>236.10876365089473</c:v>
                </c:pt>
                <c:pt idx="75">
                  <c:v>239.91412301282878</c:v>
                </c:pt>
                <c:pt idx="76">
                  <c:v>244.90167636522747</c:v>
                </c:pt>
                <c:pt idx="77">
                  <c:v>246.71479271943872</c:v>
                </c:pt>
                <c:pt idx="78">
                  <c:v>248.59371374571143</c:v>
                </c:pt>
                <c:pt idx="79">
                  <c:v>254.23797643318136</c:v>
                </c:pt>
                <c:pt idx="80">
                  <c:v>257.41043726182232</c:v>
                </c:pt>
                <c:pt idx="81">
                  <c:v>261.56989120413562</c:v>
                </c:pt>
                <c:pt idx="82">
                  <c:v>262.10943858537024</c:v>
                </c:pt>
                <c:pt idx="83">
                  <c:v>265.2423245521428</c:v>
                </c:pt>
                <c:pt idx="84">
                  <c:v>266.94123391022379</c:v>
                </c:pt>
                <c:pt idx="85">
                  <c:v>266.98650672858633</c:v>
                </c:pt>
                <c:pt idx="86">
                  <c:v>269.80917246197083</c:v>
                </c:pt>
                <c:pt idx="87">
                  <c:v>274.58690525321987</c:v>
                </c:pt>
                <c:pt idx="88">
                  <c:v>275.1611289073083</c:v>
                </c:pt>
                <c:pt idx="89">
                  <c:v>280.83437417613618</c:v>
                </c:pt>
                <c:pt idx="90">
                  <c:v>286.51170924181298</c:v>
                </c:pt>
                <c:pt idx="91">
                  <c:v>296.36948599271079</c:v>
                </c:pt>
                <c:pt idx="92">
                  <c:v>302.60374676316667</c:v>
                </c:pt>
                <c:pt idx="93">
                  <c:v>306.26873781941697</c:v>
                </c:pt>
                <c:pt idx="94">
                  <c:v>309.58120660251433</c:v>
                </c:pt>
                <c:pt idx="95">
                  <c:v>310.75266583743041</c:v>
                </c:pt>
                <c:pt idx="96">
                  <c:v>315.03712859505453</c:v>
                </c:pt>
                <c:pt idx="97">
                  <c:v>315.85600366915668</c:v>
                </c:pt>
                <c:pt idx="98">
                  <c:v>316.41222685543852</c:v>
                </c:pt>
                <c:pt idx="99">
                  <c:v>319.23025060338193</c:v>
                </c:pt>
                <c:pt idx="100">
                  <c:v>332.95857557442372</c:v>
                </c:pt>
                <c:pt idx="101">
                  <c:v>334.50072017577691</c:v>
                </c:pt>
                <c:pt idx="102">
                  <c:v>335.00053114445689</c:v>
                </c:pt>
                <c:pt idx="103">
                  <c:v>335.70368636561568</c:v>
                </c:pt>
                <c:pt idx="104">
                  <c:v>336.61760535559142</c:v>
                </c:pt>
                <c:pt idx="105">
                  <c:v>342.71932264922941</c:v>
                </c:pt>
                <c:pt idx="106">
                  <c:v>342.99970505790498</c:v>
                </c:pt>
                <c:pt idx="107">
                  <c:v>344.08010523272503</c:v>
                </c:pt>
                <c:pt idx="108">
                  <c:v>348.4865022249345</c:v>
                </c:pt>
                <c:pt idx="109">
                  <c:v>353.18334505585398</c:v>
                </c:pt>
                <c:pt idx="110">
                  <c:v>357.43214870167668</c:v>
                </c:pt>
                <c:pt idx="111">
                  <c:v>359.02057424505171</c:v>
                </c:pt>
                <c:pt idx="112">
                  <c:v>360.09719106570617</c:v>
                </c:pt>
                <c:pt idx="113">
                  <c:v>363.99271296878771</c:v>
                </c:pt>
                <c:pt idx="114">
                  <c:v>367.5245555666375</c:v>
                </c:pt>
                <c:pt idx="115">
                  <c:v>368.54890325965653</c:v>
                </c:pt>
                <c:pt idx="116">
                  <c:v>369.18174658681016</c:v>
                </c:pt>
                <c:pt idx="117">
                  <c:v>371.21854098471897</c:v>
                </c:pt>
                <c:pt idx="118">
                  <c:v>371.94944470865011</c:v>
                </c:pt>
                <c:pt idx="119">
                  <c:v>374.24080870149021</c:v>
                </c:pt>
                <c:pt idx="120">
                  <c:v>380.122507864488</c:v>
                </c:pt>
                <c:pt idx="121">
                  <c:v>381.36960061751228</c:v>
                </c:pt>
                <c:pt idx="122">
                  <c:v>382.3081645791658</c:v>
                </c:pt>
                <c:pt idx="123">
                  <c:v>382.51641015651046</c:v>
                </c:pt>
                <c:pt idx="124">
                  <c:v>382.86048467274816</c:v>
                </c:pt>
                <c:pt idx="125">
                  <c:v>390.42517405965845</c:v>
                </c:pt>
                <c:pt idx="126">
                  <c:v>391.0710470184568</c:v>
                </c:pt>
                <c:pt idx="127">
                  <c:v>395.00397861056354</c:v>
                </c:pt>
                <c:pt idx="128">
                  <c:v>395.68374408342135</c:v>
                </c:pt>
                <c:pt idx="129">
                  <c:v>395.74664025033252</c:v>
                </c:pt>
                <c:pt idx="130">
                  <c:v>397.29053881979473</c:v>
                </c:pt>
                <c:pt idx="131">
                  <c:v>400.51248836314318</c:v>
                </c:pt>
                <c:pt idx="132">
                  <c:v>401.13526188597956</c:v>
                </c:pt>
                <c:pt idx="133">
                  <c:v>401.47341306785813</c:v>
                </c:pt>
                <c:pt idx="134">
                  <c:v>402.20648244088892</c:v>
                </c:pt>
                <c:pt idx="135">
                  <c:v>406.53794751865246</c:v>
                </c:pt>
                <c:pt idx="136">
                  <c:v>407.97890212774132</c:v>
                </c:pt>
                <c:pt idx="137">
                  <c:v>408.46095519903508</c:v>
                </c:pt>
                <c:pt idx="138">
                  <c:v>410.36843328727286</c:v>
                </c:pt>
                <c:pt idx="139">
                  <c:v>416.70212811262672</c:v>
                </c:pt>
                <c:pt idx="140">
                  <c:v>418.24433485351818</c:v>
                </c:pt>
                <c:pt idx="141">
                  <c:v>423.42467490719923</c:v>
                </c:pt>
                <c:pt idx="142">
                  <c:v>428.13315619834322</c:v>
                </c:pt>
                <c:pt idx="143">
                  <c:v>432.46412390379601</c:v>
                </c:pt>
                <c:pt idx="144">
                  <c:v>435.75771347820148</c:v>
                </c:pt>
                <c:pt idx="145">
                  <c:v>435.96481511447092</c:v>
                </c:pt>
                <c:pt idx="146">
                  <c:v>436.033239634138</c:v>
                </c:pt>
                <c:pt idx="147">
                  <c:v>448.85666923054708</c:v>
                </c:pt>
                <c:pt idx="148">
                  <c:v>449.83207816955951</c:v>
                </c:pt>
                <c:pt idx="149">
                  <c:v>450.04829378403826</c:v>
                </c:pt>
              </c:numCache>
            </c:numRef>
          </c:xVal>
          <c:yVal>
            <c:numRef>
              <c:f>Scenario_A!$P$2:$P$155</c:f>
              <c:numCache>
                <c:formatCode>General</c:formatCode>
                <c:ptCount val="15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2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2</c:v>
                </c:pt>
                <c:pt idx="38">
                  <c:v>3</c:v>
                </c:pt>
                <c:pt idx="39">
                  <c:v>4</c:v>
                </c:pt>
                <c:pt idx="40">
                  <c:v>4</c:v>
                </c:pt>
                <c:pt idx="41">
                  <c:v>3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1</c:v>
                </c:pt>
                <c:pt idx="54">
                  <c:v>2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2</c:v>
                </c:pt>
                <c:pt idx="59">
                  <c:v>2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1</c:v>
                </c:pt>
                <c:pt idx="65">
                  <c:v>2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2</c:v>
                </c:pt>
                <c:pt idx="70">
                  <c:v>0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  <c:pt idx="75">
                  <c:v>1</c:v>
                </c:pt>
                <c:pt idx="76">
                  <c:v>2</c:v>
                </c:pt>
                <c:pt idx="77">
                  <c:v>3</c:v>
                </c:pt>
                <c:pt idx="78">
                  <c:v>4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2</c:v>
                </c:pt>
                <c:pt idx="83">
                  <c:v>1</c:v>
                </c:pt>
                <c:pt idx="84">
                  <c:v>1</c:v>
                </c:pt>
                <c:pt idx="85">
                  <c:v>2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2</c:v>
                </c:pt>
                <c:pt idx="96">
                  <c:v>2</c:v>
                </c:pt>
                <c:pt idx="97">
                  <c:v>3</c:v>
                </c:pt>
                <c:pt idx="98">
                  <c:v>3</c:v>
                </c:pt>
                <c:pt idx="99">
                  <c:v>1</c:v>
                </c:pt>
                <c:pt idx="100">
                  <c:v>1</c:v>
                </c:pt>
                <c:pt idx="101">
                  <c:v>2</c:v>
                </c:pt>
                <c:pt idx="102">
                  <c:v>3</c:v>
                </c:pt>
                <c:pt idx="103">
                  <c:v>4</c:v>
                </c:pt>
                <c:pt idx="104">
                  <c:v>5</c:v>
                </c:pt>
                <c:pt idx="105">
                  <c:v>2</c:v>
                </c:pt>
                <c:pt idx="106">
                  <c:v>3</c:v>
                </c:pt>
                <c:pt idx="107">
                  <c:v>4</c:v>
                </c:pt>
                <c:pt idx="108">
                  <c:v>3</c:v>
                </c:pt>
                <c:pt idx="109">
                  <c:v>2</c:v>
                </c:pt>
                <c:pt idx="110">
                  <c:v>1</c:v>
                </c:pt>
                <c:pt idx="111">
                  <c:v>1</c:v>
                </c:pt>
                <c:pt idx="112">
                  <c:v>2</c:v>
                </c:pt>
                <c:pt idx="113">
                  <c:v>1</c:v>
                </c:pt>
                <c:pt idx="114">
                  <c:v>1</c:v>
                </c:pt>
                <c:pt idx="115">
                  <c:v>2</c:v>
                </c:pt>
                <c:pt idx="116">
                  <c:v>3</c:v>
                </c:pt>
                <c:pt idx="117">
                  <c:v>4</c:v>
                </c:pt>
                <c:pt idx="118">
                  <c:v>5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5</c:v>
                </c:pt>
                <c:pt idx="123">
                  <c:v>6</c:v>
                </c:pt>
                <c:pt idx="124">
                  <c:v>6</c:v>
                </c:pt>
                <c:pt idx="125">
                  <c:v>2</c:v>
                </c:pt>
                <c:pt idx="126">
                  <c:v>3</c:v>
                </c:pt>
                <c:pt idx="127">
                  <c:v>3</c:v>
                </c:pt>
                <c:pt idx="128">
                  <c:v>4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6</c:v>
                </c:pt>
                <c:pt idx="133">
                  <c:v>7</c:v>
                </c:pt>
                <c:pt idx="134">
                  <c:v>7</c:v>
                </c:pt>
                <c:pt idx="135">
                  <c:v>3</c:v>
                </c:pt>
                <c:pt idx="136">
                  <c:v>4</c:v>
                </c:pt>
                <c:pt idx="137">
                  <c:v>5</c:v>
                </c:pt>
                <c:pt idx="138">
                  <c:v>6</c:v>
                </c:pt>
                <c:pt idx="139">
                  <c:v>5</c:v>
                </c:pt>
                <c:pt idx="140">
                  <c:v>5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1</c:v>
                </c:pt>
                <c:pt idx="148">
                  <c:v>2</c:v>
                </c:pt>
                <c:pt idx="14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7B-40F5-8918-A71854A0C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694399"/>
        <c:axId val="462702079"/>
      </c:scatterChart>
      <c:valAx>
        <c:axId val="462694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702079"/>
        <c:crosses val="autoZero"/>
        <c:crossBetween val="midCat"/>
      </c:valAx>
      <c:valAx>
        <c:axId val="46270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694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Scenario_B!$O$1</c:f>
              <c:strCache>
                <c:ptCount val="1"/>
                <c:pt idx="0">
                  <c:v>queue_length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Scenario_B!$C$2:$C$165</c:f>
              <c:numCache>
                <c:formatCode>0.00</c:formatCode>
                <c:ptCount val="164"/>
                <c:pt idx="0" formatCode="General">
                  <c:v>0</c:v>
                </c:pt>
                <c:pt idx="1">
                  <c:v>2.3476877896462809</c:v>
                </c:pt>
                <c:pt idx="2">
                  <c:v>8.9625753482445418</c:v>
                </c:pt>
                <c:pt idx="3">
                  <c:v>12.580724677425092</c:v>
                </c:pt>
                <c:pt idx="4">
                  <c:v>15.476407553331599</c:v>
                </c:pt>
                <c:pt idx="5">
                  <c:v>16.476225777491628</c:v>
                </c:pt>
                <c:pt idx="6">
                  <c:v>20.018654529391615</c:v>
                </c:pt>
                <c:pt idx="7">
                  <c:v>22.323818034056526</c:v>
                </c:pt>
                <c:pt idx="8">
                  <c:v>22.944085253036754</c:v>
                </c:pt>
                <c:pt idx="9">
                  <c:v>31.189455581585669</c:v>
                </c:pt>
                <c:pt idx="10">
                  <c:v>33.96367936086159</c:v>
                </c:pt>
                <c:pt idx="11">
                  <c:v>37.796568607152963</c:v>
                </c:pt>
                <c:pt idx="12">
                  <c:v>40.164862001313914</c:v>
                </c:pt>
                <c:pt idx="13">
                  <c:v>42.228549664257471</c:v>
                </c:pt>
                <c:pt idx="14">
                  <c:v>42.483532020366944</c:v>
                </c:pt>
                <c:pt idx="15">
                  <c:v>48.080645506410143</c:v>
                </c:pt>
                <c:pt idx="16">
                  <c:v>51.160975034691994</c:v>
                </c:pt>
                <c:pt idx="17">
                  <c:v>53.28098119752665</c:v>
                </c:pt>
                <c:pt idx="18">
                  <c:v>53.762324127280515</c:v>
                </c:pt>
                <c:pt idx="19">
                  <c:v>54.897461315557123</c:v>
                </c:pt>
                <c:pt idx="20">
                  <c:v>56.026491887488007</c:v>
                </c:pt>
                <c:pt idx="21">
                  <c:v>56.85810753745087</c:v>
                </c:pt>
                <c:pt idx="22">
                  <c:v>57.932357983108709</c:v>
                </c:pt>
                <c:pt idx="23">
                  <c:v>60.866448916143831</c:v>
                </c:pt>
                <c:pt idx="24">
                  <c:v>62.066321818987248</c:v>
                </c:pt>
                <c:pt idx="25">
                  <c:v>64.937155884259425</c:v>
                </c:pt>
                <c:pt idx="26">
                  <c:v>66.460315752612317</c:v>
                </c:pt>
                <c:pt idx="27">
                  <c:v>75.078316999365256</c:v>
                </c:pt>
                <c:pt idx="28">
                  <c:v>79.065566455252821</c:v>
                </c:pt>
                <c:pt idx="29">
                  <c:v>79.254320744017221</c:v>
                </c:pt>
                <c:pt idx="30">
                  <c:v>80.092204561904524</c:v>
                </c:pt>
                <c:pt idx="31">
                  <c:v>80.798735413572018</c:v>
                </c:pt>
                <c:pt idx="32">
                  <c:v>81.479248797675638</c:v>
                </c:pt>
                <c:pt idx="33">
                  <c:v>87.427918380052134</c:v>
                </c:pt>
                <c:pt idx="34">
                  <c:v>88.142669824221613</c:v>
                </c:pt>
                <c:pt idx="35">
                  <c:v>89.287344632996792</c:v>
                </c:pt>
                <c:pt idx="36">
                  <c:v>90.875039967354738</c:v>
                </c:pt>
                <c:pt idx="37">
                  <c:v>98.55254453310063</c:v>
                </c:pt>
                <c:pt idx="38">
                  <c:v>99.720702321941289</c:v>
                </c:pt>
                <c:pt idx="39">
                  <c:v>102.91141389879544</c:v>
                </c:pt>
                <c:pt idx="40">
                  <c:v>103.32503879056418</c:v>
                </c:pt>
                <c:pt idx="41">
                  <c:v>107.12084780664821</c:v>
                </c:pt>
                <c:pt idx="42">
                  <c:v>108.12900377692661</c:v>
                </c:pt>
                <c:pt idx="43">
                  <c:v>111.11156280300158</c:v>
                </c:pt>
                <c:pt idx="44">
                  <c:v>114.20360471507917</c:v>
                </c:pt>
                <c:pt idx="45">
                  <c:v>121.51869762971452</c:v>
                </c:pt>
                <c:pt idx="46">
                  <c:v>122.42149878537191</c:v>
                </c:pt>
                <c:pt idx="47">
                  <c:v>124.84544402826711</c:v>
                </c:pt>
                <c:pt idx="48">
                  <c:v>126.32901167931159</c:v>
                </c:pt>
                <c:pt idx="49">
                  <c:v>130.95156965927964</c:v>
                </c:pt>
                <c:pt idx="50">
                  <c:v>133.87153804962583</c:v>
                </c:pt>
                <c:pt idx="51">
                  <c:v>136.08197275721827</c:v>
                </c:pt>
                <c:pt idx="52">
                  <c:v>137.73645279595922</c:v>
                </c:pt>
                <c:pt idx="53">
                  <c:v>139.13557103181691</c:v>
                </c:pt>
                <c:pt idx="54">
                  <c:v>140.88614765495024</c:v>
                </c:pt>
                <c:pt idx="55">
                  <c:v>144.10431732923905</c:v>
                </c:pt>
                <c:pt idx="56">
                  <c:v>146.12703933802169</c:v>
                </c:pt>
                <c:pt idx="57">
                  <c:v>151.23944753255122</c:v>
                </c:pt>
                <c:pt idx="58">
                  <c:v>153.7172262870597</c:v>
                </c:pt>
                <c:pt idx="59">
                  <c:v>153.88195441055169</c:v>
                </c:pt>
                <c:pt idx="60">
                  <c:v>154.85695491888876</c:v>
                </c:pt>
                <c:pt idx="61">
                  <c:v>157.85616387839167</c:v>
                </c:pt>
                <c:pt idx="62">
                  <c:v>159.05867830105643</c:v>
                </c:pt>
                <c:pt idx="63">
                  <c:v>168.67275906637011</c:v>
                </c:pt>
                <c:pt idx="64">
                  <c:v>172.70193407631078</c:v>
                </c:pt>
                <c:pt idx="65">
                  <c:v>172.87833970990954</c:v>
                </c:pt>
                <c:pt idx="66">
                  <c:v>174.39838817014208</c:v>
                </c:pt>
                <c:pt idx="67">
                  <c:v>177.6963900470781</c:v>
                </c:pt>
                <c:pt idx="68">
                  <c:v>178.77511458384942</c:v>
                </c:pt>
                <c:pt idx="69">
                  <c:v>183.23572291944816</c:v>
                </c:pt>
                <c:pt idx="70">
                  <c:v>188.82815253324981</c:v>
                </c:pt>
                <c:pt idx="71">
                  <c:v>191.31733027258025</c:v>
                </c:pt>
                <c:pt idx="72">
                  <c:v>196.79117488662095</c:v>
                </c:pt>
                <c:pt idx="73">
                  <c:v>197.41497947826457</c:v>
                </c:pt>
                <c:pt idx="74">
                  <c:v>202.12372084065603</c:v>
                </c:pt>
                <c:pt idx="75">
                  <c:v>210.03546333161117</c:v>
                </c:pt>
                <c:pt idx="76">
                  <c:v>212.22512465234934</c:v>
                </c:pt>
                <c:pt idx="77">
                  <c:v>214.44910285255489</c:v>
                </c:pt>
                <c:pt idx="78">
                  <c:v>214.73668301652728</c:v>
                </c:pt>
                <c:pt idx="79">
                  <c:v>219.80446161823832</c:v>
                </c:pt>
                <c:pt idx="80">
                  <c:v>225.59019330807877</c:v>
                </c:pt>
                <c:pt idx="81">
                  <c:v>226.74254093651459</c:v>
                </c:pt>
                <c:pt idx="82">
                  <c:v>229.04980464711764</c:v>
                </c:pt>
                <c:pt idx="83">
                  <c:v>231.1719264998944</c:v>
                </c:pt>
                <c:pt idx="84">
                  <c:v>232.71651739956232</c:v>
                </c:pt>
                <c:pt idx="85">
                  <c:v>233.58871895352806</c:v>
                </c:pt>
                <c:pt idx="86">
                  <c:v>235.08654085298377</c:v>
                </c:pt>
                <c:pt idx="87">
                  <c:v>235.93272808721426</c:v>
                </c:pt>
                <c:pt idx="88">
                  <c:v>240.16018806979477</c:v>
                </c:pt>
                <c:pt idx="89">
                  <c:v>247.68321901402348</c:v>
                </c:pt>
                <c:pt idx="90">
                  <c:v>250.96144155431341</c:v>
                </c:pt>
                <c:pt idx="91">
                  <c:v>251.75429205781089</c:v>
                </c:pt>
                <c:pt idx="92">
                  <c:v>253.04827340053583</c:v>
                </c:pt>
                <c:pt idx="93">
                  <c:v>255.35704650762779</c:v>
                </c:pt>
                <c:pt idx="94">
                  <c:v>261.81650355969094</c:v>
                </c:pt>
                <c:pt idx="95">
                  <c:v>262.03087187167733</c:v>
                </c:pt>
                <c:pt idx="96">
                  <c:v>264.1362783479853</c:v>
                </c:pt>
                <c:pt idx="97">
                  <c:v>266.24311634296248</c:v>
                </c:pt>
                <c:pt idx="98">
                  <c:v>266.34944990471882</c:v>
                </c:pt>
                <c:pt idx="99">
                  <c:v>269.53207706826151</c:v>
                </c:pt>
                <c:pt idx="100">
                  <c:v>271.83620533280038</c:v>
                </c:pt>
                <c:pt idx="101">
                  <c:v>276.59801344134723</c:v>
                </c:pt>
                <c:pt idx="102">
                  <c:v>276.76763425394643</c:v>
                </c:pt>
                <c:pt idx="103">
                  <c:v>276.83474925010074</c:v>
                </c:pt>
                <c:pt idx="104">
                  <c:v>277.37250398432741</c:v>
                </c:pt>
                <c:pt idx="105">
                  <c:v>278.22349003586856</c:v>
                </c:pt>
                <c:pt idx="106">
                  <c:v>278.46724312780475</c:v>
                </c:pt>
                <c:pt idx="107">
                  <c:v>283.66043747102788</c:v>
                </c:pt>
                <c:pt idx="108">
                  <c:v>289.41395878594528</c:v>
                </c:pt>
                <c:pt idx="109">
                  <c:v>289.77804826012306</c:v>
                </c:pt>
                <c:pt idx="110">
                  <c:v>290.15759112093525</c:v>
                </c:pt>
                <c:pt idx="111">
                  <c:v>290.42632338018467</c:v>
                </c:pt>
                <c:pt idx="112">
                  <c:v>296.64695323512558</c:v>
                </c:pt>
                <c:pt idx="113">
                  <c:v>306.55269585035882</c:v>
                </c:pt>
                <c:pt idx="114">
                  <c:v>313.82981620743232</c:v>
                </c:pt>
                <c:pt idx="115">
                  <c:v>315.73169852548477</c:v>
                </c:pt>
                <c:pt idx="116">
                  <c:v>317.05361332699886</c:v>
                </c:pt>
                <c:pt idx="117">
                  <c:v>318.90809670349745</c:v>
                </c:pt>
                <c:pt idx="118">
                  <c:v>322.51524120157859</c:v>
                </c:pt>
                <c:pt idx="119">
                  <c:v>326.92269109849769</c:v>
                </c:pt>
                <c:pt idx="120">
                  <c:v>327.66260440940204</c:v>
                </c:pt>
                <c:pt idx="121">
                  <c:v>330.84288837795765</c:v>
                </c:pt>
                <c:pt idx="122">
                  <c:v>331.88532162209657</c:v>
                </c:pt>
                <c:pt idx="123">
                  <c:v>333.16929265985044</c:v>
                </c:pt>
                <c:pt idx="124">
                  <c:v>348.03617142207338</c:v>
                </c:pt>
                <c:pt idx="125">
                  <c:v>348.530695071053</c:v>
                </c:pt>
                <c:pt idx="126">
                  <c:v>348.62329827061939</c:v>
                </c:pt>
                <c:pt idx="127">
                  <c:v>350.8842144766864</c:v>
                </c:pt>
                <c:pt idx="128">
                  <c:v>351.93499878003638</c:v>
                </c:pt>
                <c:pt idx="129">
                  <c:v>354.72251187922689</c:v>
                </c:pt>
                <c:pt idx="130">
                  <c:v>361.81965088940376</c:v>
                </c:pt>
                <c:pt idx="131">
                  <c:v>363.37941767828909</c:v>
                </c:pt>
                <c:pt idx="132">
                  <c:v>371.37198470084724</c:v>
                </c:pt>
                <c:pt idx="133">
                  <c:v>373.69935747766084</c:v>
                </c:pt>
                <c:pt idx="134">
                  <c:v>374.22905319770479</c:v>
                </c:pt>
                <c:pt idx="135">
                  <c:v>374.69044430729457</c:v>
                </c:pt>
                <c:pt idx="136">
                  <c:v>375.5769371233331</c:v>
                </c:pt>
                <c:pt idx="137">
                  <c:v>379.37842927011945</c:v>
                </c:pt>
                <c:pt idx="138">
                  <c:v>383.06352306936287</c:v>
                </c:pt>
                <c:pt idx="139">
                  <c:v>383.96386412197285</c:v>
                </c:pt>
                <c:pt idx="140">
                  <c:v>385.0351273463196</c:v>
                </c:pt>
                <c:pt idx="141">
                  <c:v>388.97493025412518</c:v>
                </c:pt>
                <c:pt idx="142">
                  <c:v>389.13695608849855</c:v>
                </c:pt>
                <c:pt idx="143">
                  <c:v>391.75614847551986</c:v>
                </c:pt>
                <c:pt idx="144">
                  <c:v>392.96363064129736</c:v>
                </c:pt>
                <c:pt idx="145">
                  <c:v>395.70223883751709</c:v>
                </c:pt>
                <c:pt idx="146">
                  <c:v>400.1828827071821</c:v>
                </c:pt>
                <c:pt idx="147">
                  <c:v>400.77443800199745</c:v>
                </c:pt>
                <c:pt idx="148">
                  <c:v>401.43448182044574</c:v>
                </c:pt>
                <c:pt idx="149">
                  <c:v>406.39676184946302</c:v>
                </c:pt>
                <c:pt idx="150">
                  <c:v>415.43002922181626</c:v>
                </c:pt>
                <c:pt idx="151">
                  <c:v>415.64123431857553</c:v>
                </c:pt>
                <c:pt idx="152">
                  <c:v>415.85368687530729</c:v>
                </c:pt>
                <c:pt idx="153">
                  <c:v>421.39638718817599</c:v>
                </c:pt>
                <c:pt idx="154">
                  <c:v>424.26118388994496</c:v>
                </c:pt>
                <c:pt idx="155">
                  <c:v>426.10973230121499</c:v>
                </c:pt>
                <c:pt idx="156">
                  <c:v>440.82057261948319</c:v>
                </c:pt>
                <c:pt idx="157">
                  <c:v>440.95475142681727</c:v>
                </c:pt>
                <c:pt idx="158">
                  <c:v>443.02436103866114</c:v>
                </c:pt>
                <c:pt idx="159">
                  <c:v>444.2822761023786</c:v>
                </c:pt>
              </c:numCache>
            </c:numRef>
          </c:xVal>
          <c:yVal>
            <c:numRef>
              <c:f>Scenario_B!$O$2:$O$165</c:f>
              <c:numCache>
                <c:formatCode>General</c:formatCode>
                <c:ptCount val="16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5</c:v>
                </c:pt>
                <c:pt idx="25">
                  <c:v>3</c:v>
                </c:pt>
                <c:pt idx="26">
                  <c:v>3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  <c:pt idx="30">
                  <c:v>3</c:v>
                </c:pt>
                <c:pt idx="31">
                  <c:v>4</c:v>
                </c:pt>
                <c:pt idx="32">
                  <c:v>5</c:v>
                </c:pt>
                <c:pt idx="33">
                  <c:v>2</c:v>
                </c:pt>
                <c:pt idx="34">
                  <c:v>3</c:v>
                </c:pt>
                <c:pt idx="35">
                  <c:v>4</c:v>
                </c:pt>
                <c:pt idx="36">
                  <c:v>5</c:v>
                </c:pt>
                <c:pt idx="37">
                  <c:v>2</c:v>
                </c:pt>
                <c:pt idx="38">
                  <c:v>3</c:v>
                </c:pt>
                <c:pt idx="39">
                  <c:v>1</c:v>
                </c:pt>
                <c:pt idx="40">
                  <c:v>2</c:v>
                </c:pt>
                <c:pt idx="41">
                  <c:v>3</c:v>
                </c:pt>
                <c:pt idx="42">
                  <c:v>4</c:v>
                </c:pt>
                <c:pt idx="43">
                  <c:v>4</c:v>
                </c:pt>
                <c:pt idx="44">
                  <c:v>2</c:v>
                </c:pt>
                <c:pt idx="45">
                  <c:v>1</c:v>
                </c:pt>
                <c:pt idx="46">
                  <c:v>2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2</c:v>
                </c:pt>
                <c:pt idx="53">
                  <c:v>1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1</c:v>
                </c:pt>
                <c:pt idx="59">
                  <c:v>2</c:v>
                </c:pt>
                <c:pt idx="60">
                  <c:v>3</c:v>
                </c:pt>
                <c:pt idx="61">
                  <c:v>2</c:v>
                </c:pt>
                <c:pt idx="62">
                  <c:v>2</c:v>
                </c:pt>
                <c:pt idx="63">
                  <c:v>1</c:v>
                </c:pt>
                <c:pt idx="64">
                  <c:v>1</c:v>
                </c:pt>
                <c:pt idx="65">
                  <c:v>2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2</c:v>
                </c:pt>
                <c:pt idx="72">
                  <c:v>1</c:v>
                </c:pt>
                <c:pt idx="73">
                  <c:v>2</c:v>
                </c:pt>
                <c:pt idx="74">
                  <c:v>2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2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5</c:v>
                </c:pt>
                <c:pt idx="93">
                  <c:v>4</c:v>
                </c:pt>
                <c:pt idx="94">
                  <c:v>5</c:v>
                </c:pt>
                <c:pt idx="95">
                  <c:v>6</c:v>
                </c:pt>
                <c:pt idx="96">
                  <c:v>6</c:v>
                </c:pt>
                <c:pt idx="97">
                  <c:v>5</c:v>
                </c:pt>
                <c:pt idx="98">
                  <c:v>6</c:v>
                </c:pt>
                <c:pt idx="99">
                  <c:v>5</c:v>
                </c:pt>
                <c:pt idx="100">
                  <c:v>4</c:v>
                </c:pt>
                <c:pt idx="101">
                  <c:v>2</c:v>
                </c:pt>
                <c:pt idx="102">
                  <c:v>3</c:v>
                </c:pt>
                <c:pt idx="103">
                  <c:v>4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4</c:v>
                </c:pt>
                <c:pt idx="108">
                  <c:v>2</c:v>
                </c:pt>
                <c:pt idx="109">
                  <c:v>3</c:v>
                </c:pt>
                <c:pt idx="110">
                  <c:v>4</c:v>
                </c:pt>
                <c:pt idx="111">
                  <c:v>5</c:v>
                </c:pt>
                <c:pt idx="112">
                  <c:v>3</c:v>
                </c:pt>
                <c:pt idx="113">
                  <c:v>0</c:v>
                </c:pt>
                <c:pt idx="114">
                  <c:v>1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1</c:v>
                </c:pt>
                <c:pt idx="119">
                  <c:v>2</c:v>
                </c:pt>
                <c:pt idx="120">
                  <c:v>3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1</c:v>
                </c:pt>
                <c:pt idx="125">
                  <c:v>2</c:v>
                </c:pt>
                <c:pt idx="126">
                  <c:v>3</c:v>
                </c:pt>
                <c:pt idx="127">
                  <c:v>2</c:v>
                </c:pt>
                <c:pt idx="128">
                  <c:v>2</c:v>
                </c:pt>
                <c:pt idx="129">
                  <c:v>1</c:v>
                </c:pt>
                <c:pt idx="130">
                  <c:v>1</c:v>
                </c:pt>
                <c:pt idx="131">
                  <c:v>2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2</c:v>
                </c:pt>
                <c:pt idx="136">
                  <c:v>2</c:v>
                </c:pt>
                <c:pt idx="137">
                  <c:v>1</c:v>
                </c:pt>
                <c:pt idx="138">
                  <c:v>1</c:v>
                </c:pt>
                <c:pt idx="139">
                  <c:v>2</c:v>
                </c:pt>
                <c:pt idx="140">
                  <c:v>1</c:v>
                </c:pt>
                <c:pt idx="141">
                  <c:v>0</c:v>
                </c:pt>
                <c:pt idx="142">
                  <c:v>1</c:v>
                </c:pt>
                <c:pt idx="143">
                  <c:v>2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4</c:v>
                </c:pt>
                <c:pt idx="148">
                  <c:v>4</c:v>
                </c:pt>
                <c:pt idx="149">
                  <c:v>2</c:v>
                </c:pt>
                <c:pt idx="150">
                  <c:v>1</c:v>
                </c:pt>
                <c:pt idx="151">
                  <c:v>2</c:v>
                </c:pt>
                <c:pt idx="152">
                  <c:v>3</c:v>
                </c:pt>
                <c:pt idx="153">
                  <c:v>3</c:v>
                </c:pt>
                <c:pt idx="154">
                  <c:v>4</c:v>
                </c:pt>
                <c:pt idx="155">
                  <c:v>4</c:v>
                </c:pt>
                <c:pt idx="156">
                  <c:v>3</c:v>
                </c:pt>
                <c:pt idx="157">
                  <c:v>4</c:v>
                </c:pt>
                <c:pt idx="158">
                  <c:v>3</c:v>
                </c:pt>
                <c:pt idx="159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24-44C5-BB66-114014482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6736863"/>
        <c:axId val="686748863"/>
      </c:scatterChart>
      <c:valAx>
        <c:axId val="686736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748863"/>
        <c:crosses val="autoZero"/>
        <c:crossBetween val="midCat"/>
      </c:valAx>
      <c:valAx>
        <c:axId val="68674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736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570737</xdr:colOff>
      <xdr:row>1</xdr:row>
      <xdr:rowOff>90134</xdr:rowOff>
    </xdr:from>
    <xdr:to>
      <xdr:col>10</xdr:col>
      <xdr:colOff>416455</xdr:colOff>
      <xdr:row>17</xdr:row>
      <xdr:rowOff>90134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80DCD2-CC8F-6600-6FF3-D09A86A193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609248</xdr:colOff>
      <xdr:row>1</xdr:row>
      <xdr:rowOff>94779</xdr:rowOff>
    </xdr:from>
    <xdr:to>
      <xdr:col>17</xdr:col>
      <xdr:colOff>380648</xdr:colOff>
      <xdr:row>17</xdr:row>
      <xdr:rowOff>94779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4994CCE-674B-40B1-A488-EE4205D805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378060</xdr:colOff>
      <xdr:row>20</xdr:row>
      <xdr:rowOff>122297</xdr:rowOff>
    </xdr:from>
    <xdr:to>
      <xdr:col>9</xdr:col>
      <xdr:colOff>223779</xdr:colOff>
      <xdr:row>36</xdr:row>
      <xdr:rowOff>122297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4D58001-D6B7-42AC-A32D-374A42409D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609483</xdr:colOff>
      <xdr:row>20</xdr:row>
      <xdr:rowOff>131703</xdr:rowOff>
    </xdr:from>
    <xdr:to>
      <xdr:col>16</xdr:col>
      <xdr:colOff>380882</xdr:colOff>
      <xdr:row>36</xdr:row>
      <xdr:rowOff>131703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34431C5-53B0-46EB-AE0C-342AA8BEF6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74"/>
  <sheetViews>
    <sheetView tabSelected="1" topLeftCell="A15" zoomScale="75" zoomScaleNormal="85" workbookViewId="0">
      <selection activeCell="N1" sqref="N1"/>
    </sheetView>
  </sheetViews>
  <sheetFormatPr defaultColWidth="9" defaultRowHeight="14.4" x14ac:dyDescent="0.25"/>
  <cols>
    <col min="1" max="1" width="15.33203125" customWidth="1"/>
    <col min="2" max="2" width="19.88671875" customWidth="1"/>
    <col min="3" max="3" width="16.77734375" customWidth="1"/>
    <col min="4" max="4" width="27.21875" customWidth="1"/>
    <col min="5" max="5" width="15.6640625" customWidth="1"/>
    <col min="6" max="6" width="21.21875" customWidth="1"/>
    <col min="7" max="7" width="14.33203125" customWidth="1"/>
    <col min="8" max="8" width="20.77734375" customWidth="1"/>
    <col min="9" max="9" width="17.33203125" customWidth="1"/>
    <col min="10" max="10" width="18.6640625" customWidth="1"/>
    <col min="11" max="11" width="17.88671875" customWidth="1"/>
    <col min="12" max="12" width="21.77734375" customWidth="1"/>
    <col min="13" max="14" width="16.77734375" customWidth="1"/>
    <col min="15" max="15" width="23.33203125" customWidth="1"/>
    <col min="16" max="16" width="18" customWidth="1"/>
    <col min="17" max="17" width="18.109375" customWidth="1"/>
    <col min="18" max="18" width="16.6640625" customWidth="1"/>
    <col min="19" max="19" width="18.109375" customWidth="1"/>
    <col min="20" max="20" width="16.109375" customWidth="1"/>
  </cols>
  <sheetData>
    <row r="1" spans="1:39" ht="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43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49</v>
      </c>
      <c r="T1" s="4" t="s">
        <v>50</v>
      </c>
      <c r="U1" s="2" t="s">
        <v>51</v>
      </c>
      <c r="AC1" s="1"/>
      <c r="AD1" s="1"/>
      <c r="AE1" s="1"/>
      <c r="AF1" s="1"/>
      <c r="AG1" s="1"/>
      <c r="AH1" s="1"/>
      <c r="AI1" s="1"/>
    </row>
    <row r="2" spans="1:39" ht="18" x14ac:dyDescent="0.35">
      <c r="A2" s="2">
        <v>1</v>
      </c>
      <c r="B2" s="2">
        <v>0</v>
      </c>
      <c r="C2" s="2">
        <v>0</v>
      </c>
      <c r="D2" s="2">
        <f ca="1">RAND()</f>
        <v>0.48950297786473929</v>
      </c>
      <c r="E2" s="2" t="str">
        <f ca="1">LOOKUP(RAND(),{0,0.4,0.7,0.9},{"DEPOSIT","WITHDRAWAL","INQUIRY","LOAN"})</f>
        <v>WITHDRAWAL</v>
      </c>
      <c r="F2" s="2" t="s">
        <v>18</v>
      </c>
      <c r="G2" s="2">
        <f t="shared" ref="G2:G33" ca="1" si="0">IF(E2="DEPOSIT",MAX(1,-5*LN(D2)),IF(E2="WITHDRAWAL",MAX(1,-6*LN(D2)),IF(E2="INQUIRY",MAX(1,-4*LN(D2)),MAX(1,-12*LN(D2)))))</f>
        <v>4.2861884012847771</v>
      </c>
      <c r="H2" s="2">
        <f ca="1">L2</f>
        <v>4.2861884012847771</v>
      </c>
      <c r="I2" s="2">
        <v>0</v>
      </c>
      <c r="J2" s="2">
        <v>0</v>
      </c>
      <c r="K2" s="2">
        <f>C2</f>
        <v>0</v>
      </c>
      <c r="L2" s="2">
        <f t="shared" ref="L2:L33" ca="1" si="1">K2+G2</f>
        <v>4.2861884012847771</v>
      </c>
      <c r="M2" s="2">
        <f>IF(K2&gt;C2,K2-C2,0)</f>
        <v>0</v>
      </c>
      <c r="N2" s="2">
        <f>IF(M2=0,0,1)</f>
        <v>0</v>
      </c>
      <c r="O2" s="2">
        <v>0</v>
      </c>
      <c r="P2" s="2">
        <f ca="1">MAX(0,C2-H2)</f>
        <v>0</v>
      </c>
      <c r="Q2" s="2">
        <f>MAX(0,C2-I2)</f>
        <v>0</v>
      </c>
      <c r="R2" s="2">
        <f>MAX(0,C2-J2)</f>
        <v>0</v>
      </c>
      <c r="S2" s="2">
        <f ca="1">IF(F2="t1",G2,0)</f>
        <v>4.2861884012847771</v>
      </c>
      <c r="T2" s="4">
        <f>IF(F2="t2",G2,0)</f>
        <v>0</v>
      </c>
      <c r="U2">
        <f>IF(F2="t3",G2,0)</f>
        <v>0</v>
      </c>
      <c r="AC2" s="1"/>
      <c r="AD2" s="1"/>
      <c r="AE2" s="1"/>
      <c r="AF2" s="2" t="s">
        <v>17</v>
      </c>
      <c r="AG2" s="2"/>
      <c r="AH2" s="2"/>
      <c r="AI2" s="2"/>
      <c r="AJ2" s="2"/>
      <c r="AK2" s="2"/>
      <c r="AL2" s="2"/>
      <c r="AM2" s="1"/>
    </row>
    <row r="3" spans="1:39" ht="18" x14ac:dyDescent="0.35">
      <c r="A3" s="2">
        <v>2</v>
      </c>
      <c r="B3" s="2">
        <f ca="1">-LN(1-RAND())/(20/60)</f>
        <v>0.81049881951501646</v>
      </c>
      <c r="C3" s="5">
        <f ca="1">C2+B3</f>
        <v>0.81049881951501646</v>
      </c>
      <c r="D3" s="2">
        <f t="shared" ref="D3:D66" ca="1" si="2">RAND()</f>
        <v>7.5097250350464217E-2</v>
      </c>
      <c r="E3" s="2" t="str">
        <f ca="1">LOOKUP(RAND(),{0,0.4,0.7,0.9},{"DEPOSIT","WITHDRAWAL","INQUIRY","LOAN"})</f>
        <v>WITHDRAWAL</v>
      </c>
      <c r="F3" s="2" t="str">
        <f ca="1">IF(C3&gt;MAX(H2,I2,J2),"t1",IF(MIN(H2,I2,J2)=H2,"t1",(IF(MIN(H2,I2,J2)=I2,"t2","t3"))))</f>
        <v>t2</v>
      </c>
      <c r="G3" s="2">
        <f t="shared" ca="1" si="0"/>
        <v>15.533828004351413</v>
      </c>
      <c r="H3" s="2">
        <f ca="1">IF(F3="t1",L3,H2)</f>
        <v>4.2861884012847771</v>
      </c>
      <c r="I3" s="2">
        <f ca="1">IF(F3="t2",L3,I2)</f>
        <v>16.344326823866428</v>
      </c>
      <c r="J3" s="2">
        <f ca="1">IF(F3="t3",L3,J2)</f>
        <v>0</v>
      </c>
      <c r="K3" s="5">
        <f ca="1">IF(M3=0,C3,MIN(H2,I2,J2))</f>
        <v>0.81049881951501646</v>
      </c>
      <c r="L3" s="2">
        <f t="shared" ca="1" si="1"/>
        <v>16.344326823866428</v>
      </c>
      <c r="M3" s="2">
        <f t="shared" ref="M3:M20" ca="1" si="3">IF(C3&lt;MIN(H2,I2,J2),MIN(H2,I2,J2)-C3,0)</f>
        <v>0</v>
      </c>
      <c r="N3" s="2">
        <f t="shared" ref="N3:N66" ca="1" si="4">IF(M3=0,0,1)</f>
        <v>0</v>
      </c>
      <c r="O3" s="2">
        <f ca="1">COUNTIFS($C2:C$2,"&lt;="&amp;C3,$L2:L$2,"&gt;"&amp;C3)</f>
        <v>1</v>
      </c>
      <c r="P3" s="5">
        <f ca="1">MAX(0,C3-H3)</f>
        <v>0</v>
      </c>
      <c r="Q3" s="5">
        <f ca="1">MAX(0,C3-I3)</f>
        <v>0</v>
      </c>
      <c r="R3" s="5">
        <f ca="1">MAX(0,C3-J3)</f>
        <v>0.81049881951501646</v>
      </c>
      <c r="S3" s="2">
        <f t="shared" ref="S3:S66" ca="1" si="5">IF(F3="t1",G3,0)</f>
        <v>0</v>
      </c>
      <c r="T3" s="4">
        <f t="shared" ref="T3:T66" ca="1" si="6">IF(F3="t2",G3,0)</f>
        <v>15.533828004351413</v>
      </c>
      <c r="U3">
        <f t="shared" ref="U3:U66" ca="1" si="7">IF(F3="t3",G3,0)</f>
        <v>0</v>
      </c>
      <c r="V3" s="2"/>
      <c r="W3" s="2"/>
      <c r="X3" s="2"/>
      <c r="Y3" s="2"/>
      <c r="Z3" s="2"/>
      <c r="AA3" s="2"/>
      <c r="AB3" s="1"/>
      <c r="AC3" s="1"/>
      <c r="AD3" s="1"/>
      <c r="AE3" s="1"/>
      <c r="AF3" s="2" t="s">
        <v>19</v>
      </c>
      <c r="AG3" s="2"/>
      <c r="AH3" s="2"/>
      <c r="AI3" s="2"/>
      <c r="AJ3" s="2"/>
      <c r="AK3" s="2"/>
      <c r="AL3" s="2"/>
      <c r="AM3" s="1"/>
    </row>
    <row r="4" spans="1:39" ht="13.95" customHeight="1" x14ac:dyDescent="0.35">
      <c r="A4" s="2">
        <v>3</v>
      </c>
      <c r="B4" s="2">
        <f t="shared" ref="B4:B67" ca="1" si="8">-LN(1-RAND())/(20/60)</f>
        <v>0.90080806075473507</v>
      </c>
      <c r="C4" s="5">
        <f t="shared" ref="C4:C67" ca="1" si="9">C3+B4</f>
        <v>1.7113068802697515</v>
      </c>
      <c r="D4" s="2">
        <f t="shared" ca="1" si="2"/>
        <v>0.97961824284019205</v>
      </c>
      <c r="E4" s="2" t="str">
        <f ca="1">LOOKUP(RAND(),{0,0.4,0.7,0.9},{"DEPOSIT","WITHDRAWAL","INQUIRY","LOAN"})</f>
        <v>DEPOSIT</v>
      </c>
      <c r="F4" s="2" t="str">
        <f t="shared" ref="F4:F67" ca="1" si="10">IF(C4&gt;MAX(H3,I3,J3),"t1",IF(MIN(H3,I3,J3)=H3,"t1",(IF(MIN(H3,I3,J3)=I3,"t2","t3"))))</f>
        <v>t3</v>
      </c>
      <c r="G4" s="2">
        <f t="shared" ca="1" si="0"/>
        <v>1</v>
      </c>
      <c r="H4" s="2">
        <f t="shared" ref="H4:H67" ca="1" si="11">IF(F4="t1",L4,H3)</f>
        <v>4.2861884012847771</v>
      </c>
      <c r="I4" s="2">
        <f t="shared" ref="I4:I67" ca="1" si="12">IF(F4="t2",L4,I3)</f>
        <v>16.344326823866428</v>
      </c>
      <c r="J4" s="2">
        <f ca="1">IF(F4="t3",L4,J3)</f>
        <v>2.7113068802697518</v>
      </c>
      <c r="K4" s="5">
        <f t="shared" ref="K4:K67" ca="1" si="13">IF(M4=0,C4,MIN(H3,I3,J3))</f>
        <v>1.7113068802697515</v>
      </c>
      <c r="L4" s="2">
        <f t="shared" ca="1" si="1"/>
        <v>2.7113068802697518</v>
      </c>
      <c r="M4" s="2">
        <f t="shared" ca="1" si="3"/>
        <v>0</v>
      </c>
      <c r="N4" s="2">
        <f t="shared" ca="1" si="4"/>
        <v>0</v>
      </c>
      <c r="O4" s="2">
        <f ca="1">COUNTIFS($C$2:C3,"&lt;="&amp;C4,$L$2:L3,"&gt;"&amp;C4)</f>
        <v>2</v>
      </c>
      <c r="P4" s="5">
        <f t="shared" ref="P4:P67" ca="1" si="14">MAX(0,C4-H4)</f>
        <v>0</v>
      </c>
      <c r="Q4" s="5">
        <f t="shared" ref="Q4:Q67" ca="1" si="15">MAX(0,C4-I4)</f>
        <v>0</v>
      </c>
      <c r="R4" s="5">
        <f ca="1">MAX(0,C4-J4)</f>
        <v>0</v>
      </c>
      <c r="S4" s="2">
        <f t="shared" ca="1" si="5"/>
        <v>0</v>
      </c>
      <c r="T4" s="4">
        <f t="shared" ca="1" si="6"/>
        <v>0</v>
      </c>
      <c r="U4">
        <f t="shared" ca="1" si="7"/>
        <v>1</v>
      </c>
      <c r="V4" s="2"/>
      <c r="W4" s="2"/>
      <c r="X4" s="2"/>
      <c r="Y4" s="2"/>
      <c r="Z4" s="2"/>
      <c r="AA4" s="2"/>
      <c r="AB4" s="1"/>
      <c r="AC4" s="1"/>
      <c r="AD4" s="1"/>
      <c r="AE4" s="1"/>
      <c r="AF4" s="1"/>
      <c r="AG4" s="1"/>
      <c r="AH4" s="1"/>
      <c r="AI4" s="1"/>
    </row>
    <row r="5" spans="1:39" ht="18" x14ac:dyDescent="0.35">
      <c r="A5" s="2">
        <v>4</v>
      </c>
      <c r="B5" s="2">
        <f t="shared" ca="1" si="8"/>
        <v>0.76767309579114562</v>
      </c>
      <c r="C5" s="5">
        <f t="shared" ca="1" si="9"/>
        <v>2.4789799760608973</v>
      </c>
      <c r="D5" s="2">
        <f t="shared" ca="1" si="2"/>
        <v>7.2146011307406166E-2</v>
      </c>
      <c r="E5" s="2" t="str">
        <f ca="1">LOOKUP(RAND(),{0,0.4,0.7,0.9},{"DEPOSIT","WITHDRAWAL","INQUIRY","LOAN"})</f>
        <v>LOAN</v>
      </c>
      <c r="F5" s="2" t="str">
        <f t="shared" ca="1" si="10"/>
        <v>t3</v>
      </c>
      <c r="G5" s="2">
        <f t="shared" ca="1" si="0"/>
        <v>31.548759343500851</v>
      </c>
      <c r="H5" s="2">
        <f t="shared" ca="1" si="11"/>
        <v>4.2861884012847771</v>
      </c>
      <c r="I5" s="2">
        <f t="shared" ca="1" si="12"/>
        <v>16.344326823866428</v>
      </c>
      <c r="J5" s="2">
        <f t="shared" ref="J5:J68" ca="1" si="16">IF(F5="t3",L5,J4)</f>
        <v>34.2600662237706</v>
      </c>
      <c r="K5" s="5">
        <f t="shared" ca="1" si="13"/>
        <v>2.7113068802697518</v>
      </c>
      <c r="L5" s="2">
        <f t="shared" ca="1" si="1"/>
        <v>34.2600662237706</v>
      </c>
      <c r="M5" s="2">
        <f t="shared" ca="1" si="3"/>
        <v>0.23232690420885449</v>
      </c>
      <c r="N5" s="2">
        <f t="shared" ca="1" si="4"/>
        <v>1</v>
      </c>
      <c r="O5" s="2">
        <f ca="1">COUNTIFS($C$2:C4,"&lt;="&amp;C5,$L$2:L4,"&gt;"&amp;C5)</f>
        <v>3</v>
      </c>
      <c r="P5" s="5">
        <f t="shared" ca="1" si="14"/>
        <v>0</v>
      </c>
      <c r="Q5" s="5">
        <f t="shared" ca="1" si="15"/>
        <v>0</v>
      </c>
      <c r="R5" s="5">
        <f ca="1">MAX(0,C5-J5)</f>
        <v>0</v>
      </c>
      <c r="S5" s="2">
        <f t="shared" ca="1" si="5"/>
        <v>0</v>
      </c>
      <c r="T5" s="4">
        <f t="shared" ca="1" si="6"/>
        <v>0</v>
      </c>
      <c r="U5">
        <f t="shared" ca="1" si="7"/>
        <v>31.548759343500851</v>
      </c>
      <c r="V5" s="2"/>
      <c r="W5" s="2"/>
      <c r="X5" s="2"/>
      <c r="Y5" s="2"/>
      <c r="Z5" s="2"/>
      <c r="AA5" s="2"/>
      <c r="AB5" s="1"/>
      <c r="AC5" s="1"/>
      <c r="AD5" s="1"/>
      <c r="AE5" s="1"/>
      <c r="AF5" s="1"/>
      <c r="AG5" s="1"/>
      <c r="AH5" s="1"/>
      <c r="AI5" s="1"/>
    </row>
    <row r="6" spans="1:39" ht="18" x14ac:dyDescent="0.35">
      <c r="A6" s="2">
        <v>5</v>
      </c>
      <c r="B6" s="2">
        <f t="shared" ca="1" si="8"/>
        <v>4.5010104913571354</v>
      </c>
      <c r="C6" s="5">
        <f t="shared" ca="1" si="9"/>
        <v>6.9799904674180322</v>
      </c>
      <c r="D6" s="2">
        <f t="shared" ca="1" si="2"/>
        <v>0.48029591687740036</v>
      </c>
      <c r="E6" s="2" t="str">
        <f ca="1">LOOKUP(RAND(),{0,0.4,0.7,0.9},{"DEPOSIT","WITHDRAWAL","INQUIRY","LOAN"})</f>
        <v>INQUIRY</v>
      </c>
      <c r="F6" s="2" t="str">
        <f t="shared" ca="1" si="10"/>
        <v>t1</v>
      </c>
      <c r="G6" s="2">
        <f t="shared" ca="1" si="0"/>
        <v>2.9334114861586582</v>
      </c>
      <c r="H6" s="2">
        <f t="shared" ca="1" si="11"/>
        <v>9.91340195357669</v>
      </c>
      <c r="I6" s="2">
        <f t="shared" ca="1" si="12"/>
        <v>16.344326823866428</v>
      </c>
      <c r="J6" s="2">
        <f t="shared" ca="1" si="16"/>
        <v>34.2600662237706</v>
      </c>
      <c r="K6" s="5">
        <f t="shared" ca="1" si="13"/>
        <v>6.9799904674180322</v>
      </c>
      <c r="L6" s="2">
        <f t="shared" ca="1" si="1"/>
        <v>9.91340195357669</v>
      </c>
      <c r="M6" s="2">
        <f t="shared" ca="1" si="3"/>
        <v>0</v>
      </c>
      <c r="N6" s="2">
        <f t="shared" ca="1" si="4"/>
        <v>0</v>
      </c>
      <c r="O6" s="2">
        <f ca="1">COUNTIFS($C$2:C5,"&lt;="&amp;C6,$L$2:L5,"&gt;"&amp;C6)</f>
        <v>2</v>
      </c>
      <c r="P6" s="5">
        <f t="shared" ca="1" si="14"/>
        <v>0</v>
      </c>
      <c r="Q6" s="5">
        <f t="shared" ca="1" si="15"/>
        <v>0</v>
      </c>
      <c r="R6" s="5">
        <f t="shared" ref="R6:R67" ca="1" si="17">MAX(0,C6-J6)</f>
        <v>0</v>
      </c>
      <c r="S6" s="2">
        <f t="shared" ca="1" si="5"/>
        <v>2.9334114861586582</v>
      </c>
      <c r="T6" s="4">
        <f t="shared" ca="1" si="6"/>
        <v>0</v>
      </c>
      <c r="U6">
        <f t="shared" ca="1" si="7"/>
        <v>0</v>
      </c>
      <c r="AC6" s="1"/>
      <c r="AD6" s="1"/>
      <c r="AE6" s="1"/>
      <c r="AF6" s="2" t="s">
        <v>20</v>
      </c>
      <c r="AG6" s="2"/>
      <c r="AH6" s="2"/>
      <c r="AI6" s="2"/>
      <c r="AJ6" s="2"/>
      <c r="AK6" s="2"/>
      <c r="AL6" s="2"/>
      <c r="AM6" s="1"/>
    </row>
    <row r="7" spans="1:39" ht="18" x14ac:dyDescent="0.35">
      <c r="A7" s="2">
        <v>6</v>
      </c>
      <c r="B7" s="2">
        <f t="shared" ca="1" si="8"/>
        <v>0.26728655764207643</v>
      </c>
      <c r="C7" s="5">
        <f t="shared" ca="1" si="9"/>
        <v>7.2472770250601091</v>
      </c>
      <c r="D7" s="2">
        <f t="shared" ca="1" si="2"/>
        <v>0.4767725070811405</v>
      </c>
      <c r="E7" s="2" t="str">
        <f ca="1">LOOKUP(RAND(),{0,0.4,0.7,0.9},{"DEPOSIT","WITHDRAWAL","INQUIRY","LOAN"})</f>
        <v>WITHDRAWAL</v>
      </c>
      <c r="F7" s="2" t="str">
        <f t="shared" ca="1" si="10"/>
        <v>t1</v>
      </c>
      <c r="G7" s="2">
        <f t="shared" ca="1" si="0"/>
        <v>4.4442949572995181</v>
      </c>
      <c r="H7" s="2">
        <f t="shared" ca="1" si="11"/>
        <v>14.357696910876207</v>
      </c>
      <c r="I7" s="2">
        <f t="shared" ca="1" si="12"/>
        <v>16.344326823866428</v>
      </c>
      <c r="J7" s="2">
        <f t="shared" ca="1" si="16"/>
        <v>34.2600662237706</v>
      </c>
      <c r="K7" s="5">
        <f t="shared" ca="1" si="13"/>
        <v>9.91340195357669</v>
      </c>
      <c r="L7" s="2">
        <f t="shared" ca="1" si="1"/>
        <v>14.357696910876207</v>
      </c>
      <c r="M7" s="2">
        <f t="shared" ref="M7:M67" ca="1" si="18">IF(C7&lt;MIN(H6,I6,J6),MIN(H6,I6,J6)-C7,0)</f>
        <v>2.6661249285165809</v>
      </c>
      <c r="N7" s="2">
        <f t="shared" ca="1" si="4"/>
        <v>1</v>
      </c>
      <c r="O7" s="2">
        <f ca="1">COUNTIFS($C$2:C6,"&lt;="&amp;C7,$L$2:L6,"&gt;"&amp;C7)</f>
        <v>3</v>
      </c>
      <c r="P7" s="5">
        <f t="shared" ca="1" si="14"/>
        <v>0</v>
      </c>
      <c r="Q7" s="5">
        <f t="shared" ca="1" si="15"/>
        <v>0</v>
      </c>
      <c r="R7" s="5">
        <f t="shared" ca="1" si="17"/>
        <v>0</v>
      </c>
      <c r="S7" s="2">
        <f t="shared" ca="1" si="5"/>
        <v>4.4442949572995181</v>
      </c>
      <c r="T7" s="4">
        <f t="shared" ca="1" si="6"/>
        <v>0</v>
      </c>
      <c r="U7">
        <f t="shared" ca="1" si="7"/>
        <v>0</v>
      </c>
      <c r="AC7" s="1"/>
      <c r="AD7" s="1"/>
      <c r="AE7" s="1"/>
      <c r="AF7" s="2" t="s">
        <v>21</v>
      </c>
      <c r="AG7" s="2"/>
      <c r="AH7" s="2"/>
      <c r="AI7" s="2"/>
      <c r="AJ7" s="2"/>
      <c r="AK7" s="2"/>
      <c r="AL7" s="2"/>
      <c r="AM7" s="1"/>
    </row>
    <row r="8" spans="1:39" ht="18" x14ac:dyDescent="0.35">
      <c r="A8" s="2">
        <v>7</v>
      </c>
      <c r="B8" s="2">
        <f t="shared" ca="1" si="8"/>
        <v>1.4967363688784465</v>
      </c>
      <c r="C8" s="5">
        <f t="shared" ca="1" si="9"/>
        <v>8.7440133939385554</v>
      </c>
      <c r="D8" s="2">
        <f t="shared" ca="1" si="2"/>
        <v>0.82029259319120562</v>
      </c>
      <c r="E8" s="2" t="str">
        <f ca="1">LOOKUP(RAND(),{0,0.4,0.7,0.9},{"DEPOSIT","WITHDRAWAL","INQUIRY","LOAN"})</f>
        <v>INQUIRY</v>
      </c>
      <c r="F8" s="2" t="str">
        <f t="shared" ca="1" si="10"/>
        <v>t1</v>
      </c>
      <c r="G8" s="2">
        <f t="shared" ca="1" si="0"/>
        <v>1</v>
      </c>
      <c r="H8" s="2">
        <f t="shared" ca="1" si="11"/>
        <v>15.357696910876207</v>
      </c>
      <c r="I8" s="2">
        <f t="shared" ca="1" si="12"/>
        <v>16.344326823866428</v>
      </c>
      <c r="J8" s="2">
        <f t="shared" ca="1" si="16"/>
        <v>34.2600662237706</v>
      </c>
      <c r="K8" s="5">
        <f t="shared" ca="1" si="13"/>
        <v>14.357696910876207</v>
      </c>
      <c r="L8" s="2">
        <f t="shared" ca="1" si="1"/>
        <v>15.357696910876207</v>
      </c>
      <c r="M8" s="2">
        <f t="shared" ca="1" si="3"/>
        <v>5.6136835169376518</v>
      </c>
      <c r="N8" s="2">
        <f t="shared" ca="1" si="4"/>
        <v>1</v>
      </c>
      <c r="O8" s="2">
        <f ca="1">COUNTIFS($C$2:C7,"&lt;="&amp;C8,$L$2:L7,"&gt;"&amp;C8)</f>
        <v>4</v>
      </c>
      <c r="P8" s="5">
        <f t="shared" ca="1" si="14"/>
        <v>0</v>
      </c>
      <c r="Q8" s="5">
        <f t="shared" ca="1" si="15"/>
        <v>0</v>
      </c>
      <c r="R8" s="5">
        <f t="shared" ca="1" si="17"/>
        <v>0</v>
      </c>
      <c r="S8" s="2">
        <f t="shared" ca="1" si="5"/>
        <v>1</v>
      </c>
      <c r="T8" s="4">
        <f t="shared" ca="1" si="6"/>
        <v>0</v>
      </c>
      <c r="U8">
        <f t="shared" ca="1" si="7"/>
        <v>0</v>
      </c>
      <c r="V8" s="2"/>
      <c r="W8" s="2"/>
      <c r="X8" s="2"/>
      <c r="Y8" s="2"/>
      <c r="Z8" s="2"/>
      <c r="AA8" s="2"/>
      <c r="AB8" s="1"/>
      <c r="AC8" s="1"/>
      <c r="AD8" s="1"/>
      <c r="AE8" s="1"/>
      <c r="AF8" s="1"/>
    </row>
    <row r="9" spans="1:39" ht="18" x14ac:dyDescent="0.35">
      <c r="A9" s="2">
        <v>8</v>
      </c>
      <c r="B9" s="2">
        <f t="shared" ca="1" si="8"/>
        <v>1.9723082193613242</v>
      </c>
      <c r="C9" s="5">
        <f t="shared" ca="1" si="9"/>
        <v>10.716321613299879</v>
      </c>
      <c r="D9" s="2">
        <f t="shared" ca="1" si="2"/>
        <v>0.67746253109907784</v>
      </c>
      <c r="E9" s="2" t="str">
        <f ca="1">LOOKUP(RAND(),{0,0.4,0.7,0.9},{"DEPOSIT","WITHDRAWAL","INQUIRY","LOAN"})</f>
        <v>WITHDRAWAL</v>
      </c>
      <c r="F9" s="2" t="str">
        <f t="shared" ca="1" si="10"/>
        <v>t1</v>
      </c>
      <c r="G9" s="2">
        <f t="shared" ca="1" si="0"/>
        <v>2.3364061944506838</v>
      </c>
      <c r="H9" s="2">
        <f t="shared" ca="1" si="11"/>
        <v>17.694103105326892</v>
      </c>
      <c r="I9" s="2">
        <f t="shared" ca="1" si="12"/>
        <v>16.344326823866428</v>
      </c>
      <c r="J9" s="2">
        <f t="shared" ca="1" si="16"/>
        <v>34.2600662237706</v>
      </c>
      <c r="K9" s="5">
        <f t="shared" ca="1" si="13"/>
        <v>15.357696910876207</v>
      </c>
      <c r="L9" s="2">
        <f t="shared" ca="1" si="1"/>
        <v>17.694103105326892</v>
      </c>
      <c r="M9" s="2">
        <f t="shared" ca="1" si="3"/>
        <v>4.6413752975763281</v>
      </c>
      <c r="N9" s="2">
        <f t="shared" ca="1" si="4"/>
        <v>1</v>
      </c>
      <c r="O9" s="2">
        <f ca="1">COUNTIFS($C$2:C8,"&lt;="&amp;C9,$L$2:L8,"&gt;"&amp;C9)</f>
        <v>4</v>
      </c>
      <c r="P9" s="5">
        <f t="shared" ca="1" si="14"/>
        <v>0</v>
      </c>
      <c r="Q9" s="5">
        <f t="shared" ca="1" si="15"/>
        <v>0</v>
      </c>
      <c r="R9" s="5">
        <f t="shared" ca="1" si="17"/>
        <v>0</v>
      </c>
      <c r="S9" s="2">
        <f t="shared" ca="1" si="5"/>
        <v>2.3364061944506838</v>
      </c>
      <c r="T9" s="4">
        <f t="shared" ca="1" si="6"/>
        <v>0</v>
      </c>
      <c r="U9">
        <f t="shared" ca="1" si="7"/>
        <v>0</v>
      </c>
      <c r="V9" s="2"/>
      <c r="W9" s="2"/>
      <c r="X9" s="2"/>
      <c r="Y9" s="2"/>
      <c r="Z9" s="2"/>
      <c r="AA9" s="2"/>
      <c r="AB9" s="1"/>
      <c r="AC9" s="1"/>
      <c r="AD9" s="1"/>
      <c r="AE9" s="1"/>
      <c r="AF9" s="1"/>
      <c r="AG9" s="1"/>
      <c r="AH9" s="1"/>
      <c r="AI9" s="1"/>
    </row>
    <row r="10" spans="1:39" ht="18" x14ac:dyDescent="0.35">
      <c r="A10" s="2">
        <v>9</v>
      </c>
      <c r="B10" s="2">
        <f t="shared" ca="1" si="8"/>
        <v>0.62517200024806041</v>
      </c>
      <c r="C10" s="5">
        <f t="shared" ca="1" si="9"/>
        <v>11.341493613547939</v>
      </c>
      <c r="D10" s="2">
        <f t="shared" ca="1" si="2"/>
        <v>4.9355899420356564E-2</v>
      </c>
      <c r="E10" s="2" t="str">
        <f ca="1">LOOKUP(RAND(),{0,0.4,0.7,0.9},{"DEPOSIT","WITHDRAWAL","INQUIRY","LOAN"})</f>
        <v>WITHDRAWAL</v>
      </c>
      <c r="F10" s="2" t="str">
        <f t="shared" ca="1" si="10"/>
        <v>t2</v>
      </c>
      <c r="G10" s="2">
        <f t="shared" ca="1" si="0"/>
        <v>18.052187866729064</v>
      </c>
      <c r="H10" s="2">
        <f t="shared" ca="1" si="11"/>
        <v>17.694103105326892</v>
      </c>
      <c r="I10" s="2">
        <f t="shared" ca="1" si="12"/>
        <v>34.396514690595495</v>
      </c>
      <c r="J10" s="2">
        <f t="shared" ca="1" si="16"/>
        <v>34.2600662237706</v>
      </c>
      <c r="K10" s="5">
        <f t="shared" ca="1" si="13"/>
        <v>16.344326823866428</v>
      </c>
      <c r="L10" s="2">
        <f t="shared" ca="1" si="1"/>
        <v>34.396514690595495</v>
      </c>
      <c r="M10" s="2">
        <f t="shared" ca="1" si="3"/>
        <v>5.0028332103184887</v>
      </c>
      <c r="N10" s="2">
        <f t="shared" ca="1" si="4"/>
        <v>1</v>
      </c>
      <c r="O10" s="2">
        <f ca="1">COUNTIFS($C$2:C9,"&lt;="&amp;C10,$L$2:L9,"&gt;"&amp;C10)</f>
        <v>5</v>
      </c>
      <c r="P10" s="5">
        <f t="shared" ca="1" si="14"/>
        <v>0</v>
      </c>
      <c r="Q10" s="5">
        <f t="shared" ca="1" si="15"/>
        <v>0</v>
      </c>
      <c r="R10" s="5">
        <f t="shared" ca="1" si="17"/>
        <v>0</v>
      </c>
      <c r="S10" s="2">
        <f t="shared" ca="1" si="5"/>
        <v>0</v>
      </c>
      <c r="T10" s="4">
        <f t="shared" ca="1" si="6"/>
        <v>18.052187866729064</v>
      </c>
      <c r="U10">
        <f t="shared" ca="1" si="7"/>
        <v>0</v>
      </c>
      <c r="V10" s="2"/>
      <c r="W10" s="2"/>
      <c r="X10" s="2"/>
      <c r="Y10" s="2"/>
      <c r="Z10" s="2"/>
      <c r="AA10" s="2"/>
      <c r="AB10" s="1"/>
      <c r="AC10" s="1"/>
      <c r="AD10" s="1"/>
      <c r="AE10" s="1"/>
      <c r="AF10" s="1"/>
      <c r="AG10" s="1"/>
      <c r="AH10" s="1"/>
      <c r="AI10" s="1"/>
    </row>
    <row r="11" spans="1:39" ht="18" x14ac:dyDescent="0.35">
      <c r="A11" s="2">
        <v>10</v>
      </c>
      <c r="B11" s="2">
        <f t="shared" ca="1" si="8"/>
        <v>0.79359700592757809</v>
      </c>
      <c r="C11" s="5">
        <f t="shared" ca="1" si="9"/>
        <v>12.135090619475518</v>
      </c>
      <c r="D11" s="2">
        <f t="shared" ca="1" si="2"/>
        <v>0.78878943333575291</v>
      </c>
      <c r="E11" s="2" t="str">
        <f ca="1">LOOKUP(RAND(),{0,0.4,0.7,0.9},{"DEPOSIT","WITHDRAWAL","INQUIRY","LOAN"})</f>
        <v>INQUIRY</v>
      </c>
      <c r="F11" s="2" t="str">
        <f t="shared" ca="1" si="10"/>
        <v>t1</v>
      </c>
      <c r="G11" s="2">
        <f t="shared" ca="1" si="0"/>
        <v>1</v>
      </c>
      <c r="H11" s="2">
        <f t="shared" ca="1" si="11"/>
        <v>18.694103105326892</v>
      </c>
      <c r="I11" s="2">
        <f t="shared" ca="1" si="12"/>
        <v>34.396514690595495</v>
      </c>
      <c r="J11" s="2">
        <f t="shared" ca="1" si="16"/>
        <v>34.2600662237706</v>
      </c>
      <c r="K11" s="5">
        <f t="shared" ca="1" si="13"/>
        <v>17.694103105326892</v>
      </c>
      <c r="L11" s="2">
        <f t="shared" ca="1" si="1"/>
        <v>18.694103105326892</v>
      </c>
      <c r="M11" s="2">
        <f t="shared" ca="1" si="3"/>
        <v>5.5590124858513743</v>
      </c>
      <c r="N11" s="2">
        <f t="shared" ca="1" si="4"/>
        <v>1</v>
      </c>
      <c r="O11" s="2">
        <f ca="1">COUNTIFS($C$2:C10,"&lt;="&amp;C11,$L$2:L10,"&gt;"&amp;C11)</f>
        <v>6</v>
      </c>
      <c r="P11" s="5">
        <f t="shared" ca="1" si="14"/>
        <v>0</v>
      </c>
      <c r="Q11" s="5">
        <f t="shared" ca="1" si="15"/>
        <v>0</v>
      </c>
      <c r="R11" s="5">
        <f t="shared" ca="1" si="17"/>
        <v>0</v>
      </c>
      <c r="S11" s="2">
        <f t="shared" ca="1" si="5"/>
        <v>1</v>
      </c>
      <c r="T11" s="4">
        <f t="shared" ca="1" si="6"/>
        <v>0</v>
      </c>
      <c r="U11">
        <f t="shared" ca="1" si="7"/>
        <v>0</v>
      </c>
      <c r="V11" s="2"/>
      <c r="W11" s="2"/>
      <c r="X11" s="2"/>
      <c r="Y11" s="2"/>
      <c r="Z11" s="2"/>
      <c r="AA11" s="2"/>
      <c r="AB11" s="1"/>
      <c r="AC11" s="1"/>
      <c r="AD11" s="1"/>
      <c r="AE11" s="1"/>
      <c r="AF11" s="1"/>
      <c r="AG11" s="1"/>
      <c r="AH11" s="1"/>
      <c r="AI11" s="1"/>
    </row>
    <row r="12" spans="1:39" ht="18" x14ac:dyDescent="0.35">
      <c r="A12" s="2">
        <v>11</v>
      </c>
      <c r="B12" s="2">
        <f t="shared" ca="1" si="8"/>
        <v>4.5629108493441217</v>
      </c>
      <c r="C12" s="5">
        <f t="shared" ca="1" si="9"/>
        <v>16.698001468819641</v>
      </c>
      <c r="D12" s="2">
        <f t="shared" ca="1" si="2"/>
        <v>0.27547054019323136</v>
      </c>
      <c r="E12" s="2" t="str">
        <f ca="1">LOOKUP(RAND(),{0,0.4,0.7,0.9},{"DEPOSIT","WITHDRAWAL","INQUIRY","LOAN"})</f>
        <v>LOAN</v>
      </c>
      <c r="F12" s="2" t="str">
        <f t="shared" ca="1" si="10"/>
        <v>t1</v>
      </c>
      <c r="G12" s="2">
        <f t="shared" ca="1" si="0"/>
        <v>15.471295059057578</v>
      </c>
      <c r="H12" s="2">
        <f t="shared" ca="1" si="11"/>
        <v>34.16539816438447</v>
      </c>
      <c r="I12" s="2">
        <f t="shared" ca="1" si="12"/>
        <v>34.396514690595495</v>
      </c>
      <c r="J12" s="2">
        <f t="shared" ca="1" si="16"/>
        <v>34.2600662237706</v>
      </c>
      <c r="K12" s="5">
        <f t="shared" ca="1" si="13"/>
        <v>18.694103105326892</v>
      </c>
      <c r="L12" s="2">
        <f t="shared" ca="1" si="1"/>
        <v>34.16539816438447</v>
      </c>
      <c r="M12" s="2">
        <f t="shared" ca="1" si="3"/>
        <v>1.9961016365072517</v>
      </c>
      <c r="N12" s="2">
        <f t="shared" ca="1" si="4"/>
        <v>1</v>
      </c>
      <c r="O12" s="2">
        <f ca="1">COUNTIFS($C$2:C11,"&lt;="&amp;C12,$L$2:L11,"&gt;"&amp;C12)</f>
        <v>4</v>
      </c>
      <c r="P12" s="5">
        <f t="shared" ca="1" si="14"/>
        <v>0</v>
      </c>
      <c r="Q12" s="5">
        <f t="shared" ca="1" si="15"/>
        <v>0</v>
      </c>
      <c r="R12" s="5">
        <f t="shared" ca="1" si="17"/>
        <v>0</v>
      </c>
      <c r="S12" s="2">
        <f t="shared" ca="1" si="5"/>
        <v>15.471295059057578</v>
      </c>
      <c r="T12" s="4">
        <f t="shared" ca="1" si="6"/>
        <v>0</v>
      </c>
      <c r="U12">
        <f t="shared" ca="1" si="7"/>
        <v>0</v>
      </c>
      <c r="V12" s="2"/>
      <c r="W12" s="2"/>
      <c r="X12" s="2"/>
      <c r="Y12" s="2"/>
      <c r="Z12" s="2"/>
      <c r="AA12" s="2"/>
      <c r="AB12" s="1"/>
      <c r="AC12" s="1"/>
      <c r="AD12" s="1"/>
      <c r="AE12" s="1"/>
      <c r="AF12" s="1"/>
      <c r="AG12" s="1"/>
      <c r="AH12" s="1"/>
      <c r="AI12" s="1"/>
    </row>
    <row r="13" spans="1:39" ht="18" x14ac:dyDescent="0.35">
      <c r="A13" s="2">
        <v>12</v>
      </c>
      <c r="B13" s="2">
        <f t="shared" ca="1" si="8"/>
        <v>0.23635679191656003</v>
      </c>
      <c r="C13" s="5">
        <f t="shared" ca="1" si="9"/>
        <v>16.9343582607362</v>
      </c>
      <c r="D13" s="2">
        <f t="shared" ca="1" si="2"/>
        <v>0.75134354036162998</v>
      </c>
      <c r="E13" s="2" t="str">
        <f ca="1">LOOKUP(RAND(),{0,0.4,0.7,0.9},{"DEPOSIT","WITHDRAWAL","INQUIRY","LOAN"})</f>
        <v>DEPOSIT</v>
      </c>
      <c r="F13" s="2" t="str">
        <f t="shared" ca="1" si="10"/>
        <v>t1</v>
      </c>
      <c r="G13" s="2">
        <f t="shared" ca="1" si="0"/>
        <v>1.4294614396162131</v>
      </c>
      <c r="H13" s="2">
        <f t="shared" ca="1" si="11"/>
        <v>35.594859604000682</v>
      </c>
      <c r="I13" s="2">
        <f t="shared" ca="1" si="12"/>
        <v>34.396514690595495</v>
      </c>
      <c r="J13" s="2">
        <f t="shared" ca="1" si="16"/>
        <v>34.2600662237706</v>
      </c>
      <c r="K13" s="5">
        <f t="shared" ca="1" si="13"/>
        <v>34.16539816438447</v>
      </c>
      <c r="L13" s="2">
        <f t="shared" ca="1" si="1"/>
        <v>35.594859604000682</v>
      </c>
      <c r="M13" s="2">
        <f t="shared" ca="1" si="18"/>
        <v>17.23103990364827</v>
      </c>
      <c r="N13" s="2">
        <f t="shared" ca="1" si="4"/>
        <v>1</v>
      </c>
      <c r="O13" s="2">
        <f ca="1">COUNTIFS($C$2:C12,"&lt;="&amp;C13,$L$2:L12,"&gt;"&amp;C13)</f>
        <v>5</v>
      </c>
      <c r="P13" s="5">
        <f t="shared" ca="1" si="14"/>
        <v>0</v>
      </c>
      <c r="Q13" s="5">
        <f t="shared" ca="1" si="15"/>
        <v>0</v>
      </c>
      <c r="R13" s="5">
        <f t="shared" ca="1" si="17"/>
        <v>0</v>
      </c>
      <c r="S13" s="2">
        <f t="shared" ca="1" si="5"/>
        <v>1.4294614396162131</v>
      </c>
      <c r="T13" s="4">
        <f t="shared" ca="1" si="6"/>
        <v>0</v>
      </c>
      <c r="U13">
        <f t="shared" ca="1" si="7"/>
        <v>0</v>
      </c>
      <c r="V13" s="2"/>
      <c r="W13" s="2"/>
      <c r="X13" s="2"/>
      <c r="Y13" s="2"/>
      <c r="Z13" s="2"/>
      <c r="AA13" s="2"/>
      <c r="AB13" s="1"/>
      <c r="AC13" s="1"/>
      <c r="AD13" s="1"/>
      <c r="AE13" s="1"/>
      <c r="AF13" s="1"/>
      <c r="AG13" s="1"/>
      <c r="AH13" s="1"/>
      <c r="AI13" s="1"/>
    </row>
    <row r="14" spans="1:39" ht="18" x14ac:dyDescent="0.35">
      <c r="A14" s="2">
        <v>13</v>
      </c>
      <c r="B14" s="2">
        <f t="shared" ca="1" si="8"/>
        <v>0.71110205179224795</v>
      </c>
      <c r="C14" s="5">
        <f t="shared" ca="1" si="9"/>
        <v>17.645460312528449</v>
      </c>
      <c r="D14" s="2">
        <f t="shared" ca="1" si="2"/>
        <v>0.57896982110462536</v>
      </c>
      <c r="E14" s="2" t="str">
        <f ca="1">LOOKUP(RAND(),{0,0.4,0.7,0.9},{"DEPOSIT","WITHDRAWAL","INQUIRY","LOAN"})</f>
        <v>DEPOSIT</v>
      </c>
      <c r="F14" s="2" t="str">
        <f t="shared" ca="1" si="10"/>
        <v>t3</v>
      </c>
      <c r="G14" s="2">
        <f t="shared" ca="1" si="0"/>
        <v>2.732524626060397</v>
      </c>
      <c r="H14" s="2">
        <f t="shared" ca="1" si="11"/>
        <v>35.594859604000682</v>
      </c>
      <c r="I14" s="2">
        <f t="shared" ca="1" si="12"/>
        <v>34.396514690595495</v>
      </c>
      <c r="J14" s="2">
        <f t="shared" ca="1" si="16"/>
        <v>36.992590849830997</v>
      </c>
      <c r="K14" s="5">
        <f t="shared" ca="1" si="13"/>
        <v>34.2600662237706</v>
      </c>
      <c r="L14" s="2">
        <f t="shared" ca="1" si="1"/>
        <v>36.992590849830997</v>
      </c>
      <c r="M14" s="2">
        <f t="shared" ca="1" si="3"/>
        <v>16.614605911242151</v>
      </c>
      <c r="N14" s="2">
        <f t="shared" ca="1" si="4"/>
        <v>1</v>
      </c>
      <c r="O14" s="2">
        <f ca="1">COUNTIFS($C$2:C13,"&lt;="&amp;C14,$L$2:L13,"&gt;"&amp;C14)</f>
        <v>6</v>
      </c>
      <c r="P14" s="5">
        <f t="shared" ca="1" si="14"/>
        <v>0</v>
      </c>
      <c r="Q14" s="5">
        <f t="shared" ca="1" si="15"/>
        <v>0</v>
      </c>
      <c r="R14" s="5">
        <f t="shared" ca="1" si="17"/>
        <v>0</v>
      </c>
      <c r="S14" s="2">
        <f t="shared" ca="1" si="5"/>
        <v>0</v>
      </c>
      <c r="T14" s="4">
        <f t="shared" ca="1" si="6"/>
        <v>0</v>
      </c>
      <c r="U14">
        <f t="shared" ca="1" si="7"/>
        <v>2.732524626060397</v>
      </c>
      <c r="V14" s="2"/>
      <c r="W14" s="2"/>
      <c r="X14" s="2"/>
      <c r="Y14" s="2"/>
      <c r="Z14" s="2"/>
      <c r="AA14" s="2"/>
      <c r="AB14" s="1"/>
      <c r="AC14" s="1"/>
      <c r="AD14" s="1"/>
      <c r="AE14" s="1"/>
      <c r="AF14" s="1"/>
      <c r="AG14" s="1"/>
      <c r="AH14" s="1"/>
      <c r="AI14" s="1"/>
    </row>
    <row r="15" spans="1:39" ht="18" x14ac:dyDescent="0.35">
      <c r="A15" s="2">
        <v>14</v>
      </c>
      <c r="B15" s="2">
        <f t="shared" ca="1" si="8"/>
        <v>4.7048578868361055</v>
      </c>
      <c r="C15" s="5">
        <f t="shared" ca="1" si="9"/>
        <v>22.350318199364555</v>
      </c>
      <c r="D15" s="2">
        <f t="shared" ca="1" si="2"/>
        <v>0.29614038972900369</v>
      </c>
      <c r="E15" s="2" t="str">
        <f ca="1">LOOKUP(RAND(),{0,0.4,0.7,0.9},{"DEPOSIT","WITHDRAWAL","INQUIRY","LOAN"})</f>
        <v>DEPOSIT</v>
      </c>
      <c r="F15" s="2" t="str">
        <f t="shared" ca="1" si="10"/>
        <v>t2</v>
      </c>
      <c r="G15" s="2">
        <f t="shared" ca="1" si="0"/>
        <v>6.0846082373641854</v>
      </c>
      <c r="H15" s="2">
        <f t="shared" ca="1" si="11"/>
        <v>35.594859604000682</v>
      </c>
      <c r="I15" s="2">
        <f t="shared" ca="1" si="12"/>
        <v>40.481122927959682</v>
      </c>
      <c r="J15" s="2">
        <f t="shared" ca="1" si="16"/>
        <v>36.992590849830997</v>
      </c>
      <c r="K15" s="5">
        <f t="shared" ca="1" si="13"/>
        <v>34.396514690595495</v>
      </c>
      <c r="L15" s="2">
        <f t="shared" ca="1" si="1"/>
        <v>40.481122927959682</v>
      </c>
      <c r="M15" s="2">
        <f t="shared" ca="1" si="3"/>
        <v>12.04619649123094</v>
      </c>
      <c r="N15" s="2">
        <f t="shared" ca="1" si="4"/>
        <v>1</v>
      </c>
      <c r="O15" s="2">
        <f ca="1">COUNTIFS($C$2:C14,"&lt;="&amp;C15,$L$2:L14,"&gt;"&amp;C15)</f>
        <v>5</v>
      </c>
      <c r="P15" s="5">
        <f t="shared" ca="1" si="14"/>
        <v>0</v>
      </c>
      <c r="Q15" s="5">
        <f t="shared" ca="1" si="15"/>
        <v>0</v>
      </c>
      <c r="R15" s="5">
        <f t="shared" ca="1" si="17"/>
        <v>0</v>
      </c>
      <c r="S15" s="2">
        <f t="shared" ca="1" si="5"/>
        <v>0</v>
      </c>
      <c r="T15" s="4">
        <f t="shared" ca="1" si="6"/>
        <v>6.0846082373641854</v>
      </c>
      <c r="U15">
        <f t="shared" ca="1" si="7"/>
        <v>0</v>
      </c>
      <c r="V15" s="2"/>
      <c r="W15" s="2"/>
      <c r="X15" s="2"/>
      <c r="Y15" s="2"/>
      <c r="Z15" s="2"/>
      <c r="AA15" s="2"/>
      <c r="AB15" s="1"/>
      <c r="AC15" s="1"/>
      <c r="AD15" s="1"/>
      <c r="AE15" s="1"/>
      <c r="AF15" s="1"/>
      <c r="AG15" s="1"/>
      <c r="AH15" s="1"/>
      <c r="AI15" s="1"/>
    </row>
    <row r="16" spans="1:39" ht="18" x14ac:dyDescent="0.35">
      <c r="A16" s="2">
        <v>15</v>
      </c>
      <c r="B16" s="2">
        <f t="shared" ca="1" si="8"/>
        <v>1.6895580277519204</v>
      </c>
      <c r="C16" s="5">
        <f t="shared" ca="1" si="9"/>
        <v>24.039876227116476</v>
      </c>
      <c r="D16" s="2">
        <f t="shared" ca="1" si="2"/>
        <v>0.59778967255282234</v>
      </c>
      <c r="E16" s="2" t="str">
        <f ca="1">LOOKUP(RAND(),{0,0.4,0.7,0.9},{"DEPOSIT","WITHDRAWAL","INQUIRY","LOAN"})</f>
        <v>DEPOSIT</v>
      </c>
      <c r="F16" s="2" t="str">
        <f t="shared" ca="1" si="10"/>
        <v>t1</v>
      </c>
      <c r="G16" s="2">
        <f t="shared" ca="1" si="0"/>
        <v>2.5725815251896504</v>
      </c>
      <c r="H16" s="2">
        <f t="shared" ca="1" si="11"/>
        <v>38.16744112919033</v>
      </c>
      <c r="I16" s="2">
        <f t="shared" ca="1" si="12"/>
        <v>40.481122927959682</v>
      </c>
      <c r="J16" s="2">
        <f t="shared" ca="1" si="16"/>
        <v>36.992590849830997</v>
      </c>
      <c r="K16" s="5">
        <f t="shared" ca="1" si="13"/>
        <v>35.594859604000682</v>
      </c>
      <c r="L16" s="2">
        <f t="shared" ca="1" si="1"/>
        <v>38.16744112919033</v>
      </c>
      <c r="M16" s="2">
        <f t="shared" ca="1" si="3"/>
        <v>11.554983376884206</v>
      </c>
      <c r="N16" s="2">
        <f t="shared" ca="1" si="4"/>
        <v>1</v>
      </c>
      <c r="O16" s="2">
        <f ca="1">COUNTIFS($C$2:C15,"&lt;="&amp;C16,$L$2:L15,"&gt;"&amp;C16)</f>
        <v>6</v>
      </c>
      <c r="P16" s="5">
        <f t="shared" ca="1" si="14"/>
        <v>0</v>
      </c>
      <c r="Q16" s="5">
        <f t="shared" ca="1" si="15"/>
        <v>0</v>
      </c>
      <c r="R16" s="5">
        <f t="shared" ca="1" si="17"/>
        <v>0</v>
      </c>
      <c r="S16" s="2">
        <f t="shared" ca="1" si="5"/>
        <v>2.5725815251896504</v>
      </c>
      <c r="T16" s="4">
        <f t="shared" ca="1" si="6"/>
        <v>0</v>
      </c>
      <c r="U16">
        <f t="shared" ca="1" si="7"/>
        <v>0</v>
      </c>
      <c r="V16" s="2"/>
      <c r="W16" s="2"/>
      <c r="X16" s="2"/>
      <c r="Y16" s="2"/>
      <c r="Z16" s="2"/>
      <c r="AA16" s="2"/>
      <c r="AB16" s="1"/>
      <c r="AC16" s="1"/>
      <c r="AD16" s="1"/>
      <c r="AE16" s="1"/>
      <c r="AF16" s="1"/>
      <c r="AG16" s="1"/>
      <c r="AH16" s="1"/>
      <c r="AI16" s="1"/>
    </row>
    <row r="17" spans="1:35" ht="18" x14ac:dyDescent="0.35">
      <c r="A17" s="2">
        <v>16</v>
      </c>
      <c r="B17" s="2">
        <f t="shared" ca="1" si="8"/>
        <v>2.8515165374506219</v>
      </c>
      <c r="C17" s="5">
        <f t="shared" ca="1" si="9"/>
        <v>26.891392764567097</v>
      </c>
      <c r="D17" s="2">
        <f t="shared" ca="1" si="2"/>
        <v>0.99411667700374506</v>
      </c>
      <c r="E17" s="2" t="str">
        <f ca="1">LOOKUP(RAND(),{0,0.4,0.7,0.9},{"DEPOSIT","WITHDRAWAL","INQUIRY","LOAN"})</f>
        <v>WITHDRAWAL</v>
      </c>
      <c r="F17" s="2" t="str">
        <f t="shared" ca="1" si="10"/>
        <v>t3</v>
      </c>
      <c r="G17" s="2">
        <f t="shared" ca="1" si="0"/>
        <v>1</v>
      </c>
      <c r="H17" s="2">
        <f t="shared" ca="1" si="11"/>
        <v>38.16744112919033</v>
      </c>
      <c r="I17" s="2">
        <f t="shared" ca="1" si="12"/>
        <v>40.481122927959682</v>
      </c>
      <c r="J17" s="2">
        <f t="shared" ca="1" si="16"/>
        <v>37.992590849830997</v>
      </c>
      <c r="K17" s="5">
        <f t="shared" ca="1" si="13"/>
        <v>36.992590849830997</v>
      </c>
      <c r="L17" s="2">
        <f t="shared" ca="1" si="1"/>
        <v>37.992590849830997</v>
      </c>
      <c r="M17" s="2">
        <f t="shared" ca="1" si="3"/>
        <v>10.101198085263899</v>
      </c>
      <c r="N17" s="2">
        <f t="shared" ca="1" si="4"/>
        <v>1</v>
      </c>
      <c r="O17" s="2">
        <f ca="1">COUNTIFS($C$2:C16,"&lt;="&amp;C17,$L$2:L16,"&gt;"&amp;C17)</f>
        <v>7</v>
      </c>
      <c r="P17" s="5">
        <f t="shared" ca="1" si="14"/>
        <v>0</v>
      </c>
      <c r="Q17" s="5">
        <f t="shared" ca="1" si="15"/>
        <v>0</v>
      </c>
      <c r="R17" s="5">
        <f t="shared" ca="1" si="17"/>
        <v>0</v>
      </c>
      <c r="S17" s="2">
        <f t="shared" ca="1" si="5"/>
        <v>0</v>
      </c>
      <c r="T17" s="4">
        <f t="shared" ca="1" si="6"/>
        <v>0</v>
      </c>
      <c r="U17">
        <f t="shared" ca="1" si="7"/>
        <v>1</v>
      </c>
      <c r="V17" s="2"/>
      <c r="W17" s="2"/>
      <c r="X17" s="2"/>
      <c r="Y17" s="2"/>
      <c r="Z17" s="2"/>
      <c r="AA17" s="2"/>
      <c r="AB17" s="1"/>
      <c r="AC17" s="1"/>
      <c r="AD17" s="1"/>
      <c r="AE17" s="1"/>
      <c r="AF17" s="1"/>
      <c r="AG17" s="1"/>
      <c r="AH17" s="1"/>
      <c r="AI17" s="1"/>
    </row>
    <row r="18" spans="1:35" ht="18" x14ac:dyDescent="0.35">
      <c r="A18" s="2">
        <v>17</v>
      </c>
      <c r="B18" s="2">
        <f t="shared" ca="1" si="8"/>
        <v>2.1696423373790941</v>
      </c>
      <c r="C18" s="5">
        <f t="shared" ca="1" si="9"/>
        <v>29.061035101946192</v>
      </c>
      <c r="D18" s="2">
        <f t="shared" ca="1" si="2"/>
        <v>0.47520595675814792</v>
      </c>
      <c r="E18" s="2" t="str">
        <f ca="1">LOOKUP(RAND(),{0,0.4,0.7,0.9},{"DEPOSIT","WITHDRAWAL","INQUIRY","LOAN"})</f>
        <v>DEPOSIT</v>
      </c>
      <c r="F18" s="2" t="str">
        <f t="shared" ca="1" si="10"/>
        <v>t3</v>
      </c>
      <c r="G18" s="2">
        <f t="shared" ca="1" si="0"/>
        <v>3.7200348787340243</v>
      </c>
      <c r="H18" s="2">
        <f t="shared" ca="1" si="11"/>
        <v>38.16744112919033</v>
      </c>
      <c r="I18" s="2">
        <f t="shared" ca="1" si="12"/>
        <v>40.481122927959682</v>
      </c>
      <c r="J18" s="2">
        <f t="shared" ca="1" si="16"/>
        <v>41.712625728565023</v>
      </c>
      <c r="K18" s="5">
        <f t="shared" ca="1" si="13"/>
        <v>37.992590849830997</v>
      </c>
      <c r="L18" s="2">
        <f t="shared" ca="1" si="1"/>
        <v>41.712625728565023</v>
      </c>
      <c r="M18" s="2">
        <f t="shared" ca="1" si="3"/>
        <v>8.9315557478848042</v>
      </c>
      <c r="N18" s="2">
        <f t="shared" ca="1" si="4"/>
        <v>1</v>
      </c>
      <c r="O18" s="2">
        <f ca="1">COUNTIFS($C$2:C17,"&lt;="&amp;C18,$L$2:L17,"&gt;"&amp;C18)</f>
        <v>8</v>
      </c>
      <c r="P18" s="5">
        <f t="shared" ca="1" si="14"/>
        <v>0</v>
      </c>
      <c r="Q18" s="5">
        <f t="shared" ca="1" si="15"/>
        <v>0</v>
      </c>
      <c r="R18" s="5">
        <f t="shared" ca="1" si="17"/>
        <v>0</v>
      </c>
      <c r="S18" s="2">
        <f t="shared" ca="1" si="5"/>
        <v>0</v>
      </c>
      <c r="T18" s="4">
        <f t="shared" ca="1" si="6"/>
        <v>0</v>
      </c>
      <c r="U18">
        <f t="shared" ca="1" si="7"/>
        <v>3.7200348787340243</v>
      </c>
      <c r="V18" s="2"/>
      <c r="W18" s="2"/>
      <c r="X18" s="2"/>
      <c r="Y18" s="2"/>
      <c r="Z18" s="2"/>
      <c r="AA18" s="2"/>
      <c r="AB18" s="1"/>
      <c r="AC18" s="1"/>
      <c r="AD18" s="1"/>
      <c r="AE18" s="1"/>
      <c r="AF18" s="1"/>
      <c r="AG18" s="1"/>
      <c r="AH18" s="1"/>
      <c r="AI18" s="1"/>
    </row>
    <row r="19" spans="1:35" ht="18" x14ac:dyDescent="0.35">
      <c r="A19" s="2">
        <v>18</v>
      </c>
      <c r="B19" s="2">
        <f t="shared" ca="1" si="8"/>
        <v>0.23836698463363948</v>
      </c>
      <c r="C19" s="5">
        <f t="shared" ca="1" si="9"/>
        <v>29.299402086579832</v>
      </c>
      <c r="D19" s="2">
        <f t="shared" ca="1" si="2"/>
        <v>0.31112076940229216</v>
      </c>
      <c r="E19" s="2" t="str">
        <f ca="1">LOOKUP(RAND(),{0,0.4,0.7,0.9},{"DEPOSIT","WITHDRAWAL","INQUIRY","LOAN"})</f>
        <v>WITHDRAWAL</v>
      </c>
      <c r="F19" s="2" t="str">
        <f t="shared" ca="1" si="10"/>
        <v>t1</v>
      </c>
      <c r="G19" s="2">
        <f t="shared" ca="1" si="0"/>
        <v>7.0054446967773858</v>
      </c>
      <c r="H19" s="2">
        <f t="shared" ca="1" si="11"/>
        <v>45.172885825967718</v>
      </c>
      <c r="I19" s="2">
        <f t="shared" ca="1" si="12"/>
        <v>40.481122927959682</v>
      </c>
      <c r="J19" s="2">
        <f t="shared" ca="1" si="16"/>
        <v>41.712625728565023</v>
      </c>
      <c r="K19" s="5">
        <f t="shared" ca="1" si="13"/>
        <v>38.16744112919033</v>
      </c>
      <c r="L19" s="2">
        <f t="shared" ca="1" si="1"/>
        <v>45.172885825967718</v>
      </c>
      <c r="M19" s="2">
        <f t="shared" ca="1" si="18"/>
        <v>8.8680390426104978</v>
      </c>
      <c r="N19" s="2">
        <f t="shared" ca="1" si="4"/>
        <v>1</v>
      </c>
      <c r="O19" s="2">
        <f ca="1">COUNTIFS($C$2:C18,"&lt;="&amp;C19,$L$2:L18,"&gt;"&amp;C19)</f>
        <v>9</v>
      </c>
      <c r="P19" s="5">
        <f t="shared" ca="1" si="14"/>
        <v>0</v>
      </c>
      <c r="Q19" s="5">
        <f t="shared" ca="1" si="15"/>
        <v>0</v>
      </c>
      <c r="R19" s="5">
        <f t="shared" ca="1" si="17"/>
        <v>0</v>
      </c>
      <c r="S19" s="2">
        <f t="shared" ca="1" si="5"/>
        <v>7.0054446967773858</v>
      </c>
      <c r="T19" s="4">
        <f t="shared" ca="1" si="6"/>
        <v>0</v>
      </c>
      <c r="U19">
        <f t="shared" ca="1" si="7"/>
        <v>0</v>
      </c>
      <c r="V19" s="2"/>
      <c r="W19" s="2"/>
      <c r="X19" s="2"/>
      <c r="Y19" s="2"/>
      <c r="Z19" s="2"/>
      <c r="AA19" s="2"/>
      <c r="AB19" s="1"/>
      <c r="AC19" s="1"/>
      <c r="AD19" s="1"/>
      <c r="AE19" s="1"/>
      <c r="AF19" s="1"/>
      <c r="AG19" s="1"/>
      <c r="AH19" s="1"/>
      <c r="AI19" s="1"/>
    </row>
    <row r="20" spans="1:35" ht="18" x14ac:dyDescent="0.35">
      <c r="A20" s="2">
        <v>19</v>
      </c>
      <c r="B20" s="2">
        <f t="shared" ca="1" si="8"/>
        <v>6.348492973879428</v>
      </c>
      <c r="C20" s="5">
        <f t="shared" ca="1" si="9"/>
        <v>35.647895060459263</v>
      </c>
      <c r="D20" s="2">
        <f t="shared" ca="1" si="2"/>
        <v>0.97997241803420576</v>
      </c>
      <c r="E20" s="2" t="str">
        <f ca="1">LOOKUP(RAND(),{0,0.4,0.7,0.9},{"DEPOSIT","WITHDRAWAL","INQUIRY","LOAN"})</f>
        <v>INQUIRY</v>
      </c>
      <c r="F20" s="2" t="str">
        <f t="shared" ca="1" si="10"/>
        <v>t2</v>
      </c>
      <c r="G20" s="2">
        <f t="shared" ca="1" si="0"/>
        <v>1</v>
      </c>
      <c r="H20" s="2">
        <f t="shared" ca="1" si="11"/>
        <v>45.172885825967718</v>
      </c>
      <c r="I20" s="2">
        <f t="shared" ca="1" si="12"/>
        <v>41.481122927959682</v>
      </c>
      <c r="J20" s="2">
        <f t="shared" ca="1" si="16"/>
        <v>41.712625728565023</v>
      </c>
      <c r="K20" s="5">
        <f t="shared" ca="1" si="13"/>
        <v>40.481122927959682</v>
      </c>
      <c r="L20" s="2">
        <f t="shared" ca="1" si="1"/>
        <v>41.481122927959682</v>
      </c>
      <c r="M20" s="2">
        <f t="shared" ca="1" si="3"/>
        <v>4.833227867500419</v>
      </c>
      <c r="N20" s="2">
        <f t="shared" ca="1" si="4"/>
        <v>1</v>
      </c>
      <c r="O20" s="2">
        <f ca="1">COUNTIFS($C$2:C19,"&lt;="&amp;C20,$L$2:L19,"&gt;"&amp;C20)</f>
        <v>6</v>
      </c>
      <c r="P20" s="5">
        <f t="shared" ca="1" si="14"/>
        <v>0</v>
      </c>
      <c r="Q20" s="5">
        <f t="shared" ca="1" si="15"/>
        <v>0</v>
      </c>
      <c r="R20" s="5">
        <f t="shared" ca="1" si="17"/>
        <v>0</v>
      </c>
      <c r="S20" s="2">
        <f t="shared" ca="1" si="5"/>
        <v>0</v>
      </c>
      <c r="T20" s="4">
        <f t="shared" ca="1" si="6"/>
        <v>1</v>
      </c>
      <c r="U20">
        <f t="shared" ca="1" si="7"/>
        <v>0</v>
      </c>
      <c r="V20" s="2"/>
      <c r="W20" s="2"/>
      <c r="X20" s="2"/>
      <c r="Y20" s="2"/>
      <c r="Z20" s="2"/>
      <c r="AA20" s="2"/>
      <c r="AB20" s="1"/>
      <c r="AC20" s="1"/>
      <c r="AD20" s="1"/>
      <c r="AE20" s="1"/>
      <c r="AF20" s="1"/>
      <c r="AG20" s="1"/>
      <c r="AH20" s="1"/>
      <c r="AI20" s="1"/>
    </row>
    <row r="21" spans="1:35" ht="18" x14ac:dyDescent="0.35">
      <c r="A21" s="2">
        <v>20</v>
      </c>
      <c r="B21" s="2">
        <f t="shared" ca="1" si="8"/>
        <v>1.2428787031024207</v>
      </c>
      <c r="C21" s="5">
        <f t="shared" ca="1" si="9"/>
        <v>36.890773763561683</v>
      </c>
      <c r="D21" s="2">
        <f t="shared" ca="1" si="2"/>
        <v>0.34977168417103444</v>
      </c>
      <c r="E21" s="2" t="str">
        <f ca="1">LOOKUP(RAND(),{0,0.4,0.7,0.9},{"DEPOSIT","WITHDRAWAL","INQUIRY","LOAN"})</f>
        <v>DEPOSIT</v>
      </c>
      <c r="F21" s="2" t="str">
        <f t="shared" ca="1" si="10"/>
        <v>t2</v>
      </c>
      <c r="G21" s="2">
        <f t="shared" ca="1" si="0"/>
        <v>5.252373341494911</v>
      </c>
      <c r="H21" s="2">
        <f t="shared" ca="1" si="11"/>
        <v>45.172885825967718</v>
      </c>
      <c r="I21" s="2">
        <f t="shared" ca="1" si="12"/>
        <v>46.733496269454591</v>
      </c>
      <c r="J21" s="2">
        <f t="shared" ca="1" si="16"/>
        <v>41.712625728565023</v>
      </c>
      <c r="K21" s="5">
        <f t="shared" ca="1" si="13"/>
        <v>41.481122927959682</v>
      </c>
      <c r="L21" s="2">
        <f t="shared" ca="1" si="1"/>
        <v>46.733496269454591</v>
      </c>
      <c r="M21" s="2">
        <f t="shared" ca="1" si="18"/>
        <v>4.590349164397999</v>
      </c>
      <c r="N21" s="2">
        <f t="shared" ca="1" si="4"/>
        <v>1</v>
      </c>
      <c r="O21" s="2">
        <f ca="1">COUNTIFS($C$2:C20,"&lt;="&amp;C21,$L$2:L20,"&gt;"&amp;C21)</f>
        <v>7</v>
      </c>
      <c r="P21" s="5">
        <f t="shared" ca="1" si="14"/>
        <v>0</v>
      </c>
      <c r="Q21" s="5">
        <f t="shared" ca="1" si="15"/>
        <v>0</v>
      </c>
      <c r="R21" s="5">
        <f t="shared" ca="1" si="17"/>
        <v>0</v>
      </c>
      <c r="S21" s="2">
        <f t="shared" ca="1" si="5"/>
        <v>0</v>
      </c>
      <c r="T21" s="4">
        <f t="shared" ca="1" si="6"/>
        <v>5.252373341494911</v>
      </c>
      <c r="U21">
        <f t="shared" ca="1" si="7"/>
        <v>0</v>
      </c>
      <c r="V21" s="2"/>
      <c r="W21" s="2"/>
      <c r="X21" s="2"/>
      <c r="Y21" s="2"/>
      <c r="Z21" s="2"/>
      <c r="AA21" s="2"/>
      <c r="AB21" s="1"/>
      <c r="AC21" s="1"/>
      <c r="AD21" s="1"/>
      <c r="AE21" s="1"/>
      <c r="AF21" s="1"/>
      <c r="AG21" s="1"/>
      <c r="AH21" s="1"/>
      <c r="AI21" s="1"/>
    </row>
    <row r="22" spans="1:35" ht="18" x14ac:dyDescent="0.35">
      <c r="A22" s="2">
        <v>21</v>
      </c>
      <c r="B22" s="2">
        <f t="shared" ca="1" si="8"/>
        <v>5.0014786882409563</v>
      </c>
      <c r="C22" s="5">
        <f t="shared" ca="1" si="9"/>
        <v>41.892252451802641</v>
      </c>
      <c r="D22" s="2">
        <f t="shared" ca="1" si="2"/>
        <v>0.12419393930070344</v>
      </c>
      <c r="E22" s="2" t="str">
        <f ca="1">LOOKUP(RAND(),{0,0.4,0.7,0.9},{"DEPOSIT","WITHDRAWAL","INQUIRY","LOAN"})</f>
        <v>DEPOSIT</v>
      </c>
      <c r="F22" s="2" t="str">
        <f t="shared" ca="1" si="10"/>
        <v>t3</v>
      </c>
      <c r="G22" s="2">
        <f t="shared" ca="1" si="0"/>
        <v>10.429554542871768</v>
      </c>
      <c r="H22" s="2">
        <f t="shared" ca="1" si="11"/>
        <v>45.172885825967718</v>
      </c>
      <c r="I22" s="2">
        <f t="shared" ca="1" si="12"/>
        <v>46.733496269454591</v>
      </c>
      <c r="J22" s="2">
        <f t="shared" ca="1" si="16"/>
        <v>52.321806994674411</v>
      </c>
      <c r="K22" s="5">
        <f t="shared" ca="1" si="13"/>
        <v>41.892252451802641</v>
      </c>
      <c r="L22" s="2">
        <f t="shared" ca="1" si="1"/>
        <v>52.321806994674411</v>
      </c>
      <c r="M22" s="2">
        <f t="shared" ca="1" si="18"/>
        <v>0</v>
      </c>
      <c r="N22" s="2">
        <f t="shared" ca="1" si="4"/>
        <v>0</v>
      </c>
      <c r="O22" s="2">
        <f ca="1">COUNTIFS($C$2:C21,"&lt;="&amp;C22,$L$2:L21,"&gt;"&amp;C22)</f>
        <v>2</v>
      </c>
      <c r="P22" s="5">
        <f t="shared" ca="1" si="14"/>
        <v>0</v>
      </c>
      <c r="Q22" s="5">
        <f t="shared" ca="1" si="15"/>
        <v>0</v>
      </c>
      <c r="R22" s="5">
        <f t="shared" ca="1" si="17"/>
        <v>0</v>
      </c>
      <c r="S22" s="2">
        <f t="shared" ca="1" si="5"/>
        <v>0</v>
      </c>
      <c r="T22" s="4">
        <f t="shared" ca="1" si="6"/>
        <v>0</v>
      </c>
      <c r="U22">
        <f t="shared" ca="1" si="7"/>
        <v>10.429554542871768</v>
      </c>
      <c r="V22" s="2"/>
      <c r="W22" s="2"/>
      <c r="X22" s="2"/>
      <c r="Y22" s="2"/>
      <c r="Z22" s="2"/>
      <c r="AA22" s="2"/>
      <c r="AB22" s="1"/>
      <c r="AC22" s="1"/>
      <c r="AD22" s="1"/>
      <c r="AE22" s="1"/>
      <c r="AF22" s="1"/>
      <c r="AG22" s="1"/>
      <c r="AH22" s="1"/>
      <c r="AI22" s="1"/>
    </row>
    <row r="23" spans="1:35" ht="18" x14ac:dyDescent="0.35">
      <c r="A23" s="2">
        <v>22</v>
      </c>
      <c r="B23" s="2">
        <f t="shared" ca="1" si="8"/>
        <v>4.0647372414804792</v>
      </c>
      <c r="C23" s="5">
        <f t="shared" ca="1" si="9"/>
        <v>45.95698969328312</v>
      </c>
      <c r="D23" s="2">
        <f t="shared" ca="1" si="2"/>
        <v>0.59601193483028303</v>
      </c>
      <c r="E23" s="2" t="str">
        <f ca="1">LOOKUP(RAND(),{0,0.4,0.7,0.9},{"DEPOSIT","WITHDRAWAL","INQUIRY","LOAN"})</f>
        <v>DEPOSIT</v>
      </c>
      <c r="F23" s="2" t="str">
        <f t="shared" ca="1" si="10"/>
        <v>t1</v>
      </c>
      <c r="G23" s="2">
        <f t="shared" ca="1" si="0"/>
        <v>2.5874729361712867</v>
      </c>
      <c r="H23" s="2">
        <f t="shared" ca="1" si="11"/>
        <v>48.544462629454408</v>
      </c>
      <c r="I23" s="2">
        <f t="shared" ca="1" si="12"/>
        <v>46.733496269454591</v>
      </c>
      <c r="J23" s="2">
        <f t="shared" ca="1" si="16"/>
        <v>52.321806994674411</v>
      </c>
      <c r="K23" s="5">
        <f t="shared" ca="1" si="13"/>
        <v>45.95698969328312</v>
      </c>
      <c r="L23" s="2">
        <f t="shared" ca="1" si="1"/>
        <v>48.544462629454408</v>
      </c>
      <c r="M23" s="2">
        <f t="shared" ca="1" si="18"/>
        <v>0</v>
      </c>
      <c r="N23" s="2">
        <f t="shared" ca="1" si="4"/>
        <v>0</v>
      </c>
      <c r="O23" s="2">
        <f ca="1">COUNTIFS($C$2:C22,"&lt;="&amp;C23,$L$2:L22,"&gt;"&amp;C23)</f>
        <v>2</v>
      </c>
      <c r="P23" s="5">
        <f t="shared" ca="1" si="14"/>
        <v>0</v>
      </c>
      <c r="Q23" s="5">
        <f t="shared" ca="1" si="15"/>
        <v>0</v>
      </c>
      <c r="R23" s="5">
        <f t="shared" ca="1" si="17"/>
        <v>0</v>
      </c>
      <c r="S23" s="2">
        <f t="shared" ca="1" si="5"/>
        <v>2.5874729361712867</v>
      </c>
      <c r="T23" s="4">
        <f t="shared" ca="1" si="6"/>
        <v>0</v>
      </c>
      <c r="U23">
        <f t="shared" ca="1" si="7"/>
        <v>0</v>
      </c>
      <c r="V23" s="2"/>
      <c r="W23" s="2"/>
      <c r="X23" s="2"/>
      <c r="Y23" s="2"/>
      <c r="Z23" s="2"/>
      <c r="AA23" s="2"/>
      <c r="AB23" s="1"/>
      <c r="AC23" s="1"/>
      <c r="AD23" s="1"/>
      <c r="AE23" s="1"/>
      <c r="AF23" s="1"/>
      <c r="AG23" s="1"/>
      <c r="AH23" s="1"/>
      <c r="AI23" s="1"/>
    </row>
    <row r="24" spans="1:35" ht="18" x14ac:dyDescent="0.35">
      <c r="A24" s="2">
        <v>23</v>
      </c>
      <c r="B24" s="2">
        <f t="shared" ca="1" si="8"/>
        <v>0.25259662963969493</v>
      </c>
      <c r="C24" s="5">
        <f t="shared" ca="1" si="9"/>
        <v>46.209586322922817</v>
      </c>
      <c r="D24" s="2">
        <f t="shared" ca="1" si="2"/>
        <v>0.69875192966446154</v>
      </c>
      <c r="E24" s="2" t="str">
        <f ca="1">LOOKUP(RAND(),{0,0.4,0.7,0.9},{"DEPOSIT","WITHDRAWAL","INQUIRY","LOAN"})</f>
        <v>INQUIRY</v>
      </c>
      <c r="F24" s="2" t="str">
        <f t="shared" ca="1" si="10"/>
        <v>t2</v>
      </c>
      <c r="G24" s="2">
        <f t="shared" ca="1" si="0"/>
        <v>1.4338379716868213</v>
      </c>
      <c r="H24" s="2">
        <f t="shared" ca="1" si="11"/>
        <v>48.544462629454408</v>
      </c>
      <c r="I24" s="2">
        <f t="shared" ca="1" si="12"/>
        <v>48.167334241141411</v>
      </c>
      <c r="J24" s="2">
        <f t="shared" ca="1" si="16"/>
        <v>52.321806994674411</v>
      </c>
      <c r="K24" s="5">
        <f t="shared" ca="1" si="13"/>
        <v>46.733496269454591</v>
      </c>
      <c r="L24" s="2">
        <f t="shared" ca="1" si="1"/>
        <v>48.167334241141411</v>
      </c>
      <c r="M24" s="2">
        <f t="shared" ca="1" si="18"/>
        <v>0.52390994653177358</v>
      </c>
      <c r="N24" s="2">
        <f t="shared" ca="1" si="4"/>
        <v>1</v>
      </c>
      <c r="O24" s="2">
        <f ca="1">COUNTIFS($C$2:C23,"&lt;="&amp;C24,$L$2:L23,"&gt;"&amp;C24)</f>
        <v>3</v>
      </c>
      <c r="P24" s="5">
        <f t="shared" ca="1" si="14"/>
        <v>0</v>
      </c>
      <c r="Q24" s="5">
        <f t="shared" ca="1" si="15"/>
        <v>0</v>
      </c>
      <c r="R24" s="5">
        <f t="shared" ca="1" si="17"/>
        <v>0</v>
      </c>
      <c r="S24" s="2">
        <f t="shared" ca="1" si="5"/>
        <v>0</v>
      </c>
      <c r="T24" s="4">
        <f t="shared" ca="1" si="6"/>
        <v>1.4338379716868213</v>
      </c>
      <c r="U24">
        <f t="shared" ca="1" si="7"/>
        <v>0</v>
      </c>
      <c r="V24" s="2"/>
      <c r="W24" s="2"/>
      <c r="X24" s="2"/>
      <c r="Y24" s="2"/>
      <c r="Z24" s="2"/>
      <c r="AA24" s="2"/>
      <c r="AB24" s="1"/>
      <c r="AC24" s="1"/>
      <c r="AD24" s="1"/>
      <c r="AE24" s="1"/>
      <c r="AF24" s="1"/>
      <c r="AG24" s="1"/>
      <c r="AH24" s="1"/>
      <c r="AI24" s="1"/>
    </row>
    <row r="25" spans="1:35" ht="18" x14ac:dyDescent="0.35">
      <c r="A25" s="2">
        <v>24</v>
      </c>
      <c r="B25" s="2">
        <f t="shared" ca="1" si="8"/>
        <v>0.18084545645341216</v>
      </c>
      <c r="C25" s="5">
        <f t="shared" ca="1" si="9"/>
        <v>46.390431779376229</v>
      </c>
      <c r="D25" s="2">
        <f t="shared" ca="1" si="2"/>
        <v>0.95775148087696493</v>
      </c>
      <c r="E25" s="2" t="str">
        <f ca="1">LOOKUP(RAND(),{0,0.4,0.7,0.9},{"DEPOSIT","WITHDRAWAL","INQUIRY","LOAN"})</f>
        <v>INQUIRY</v>
      </c>
      <c r="F25" s="2" t="str">
        <f t="shared" ca="1" si="10"/>
        <v>t2</v>
      </c>
      <c r="G25" s="2">
        <f t="shared" ca="1" si="0"/>
        <v>1</v>
      </c>
      <c r="H25" s="2">
        <f t="shared" ca="1" si="11"/>
        <v>48.544462629454408</v>
      </c>
      <c r="I25" s="2">
        <f t="shared" ca="1" si="12"/>
        <v>49.167334241141411</v>
      </c>
      <c r="J25" s="2">
        <f t="shared" ca="1" si="16"/>
        <v>52.321806994674411</v>
      </c>
      <c r="K25" s="5">
        <f t="shared" ca="1" si="13"/>
        <v>48.167334241141411</v>
      </c>
      <c r="L25" s="2">
        <f t="shared" ca="1" si="1"/>
        <v>49.167334241141411</v>
      </c>
      <c r="M25" s="2">
        <f t="shared" ca="1" si="18"/>
        <v>1.7769024617651823</v>
      </c>
      <c r="N25" s="2">
        <f t="shared" ca="1" si="4"/>
        <v>1</v>
      </c>
      <c r="O25" s="2">
        <f ca="1">COUNTIFS($C$2:C24,"&lt;="&amp;C25,$L$2:L24,"&gt;"&amp;C25)</f>
        <v>4</v>
      </c>
      <c r="P25" s="5">
        <f t="shared" ca="1" si="14"/>
        <v>0</v>
      </c>
      <c r="Q25" s="5">
        <f t="shared" ca="1" si="15"/>
        <v>0</v>
      </c>
      <c r="R25" s="5">
        <f t="shared" ca="1" si="17"/>
        <v>0</v>
      </c>
      <c r="S25" s="2">
        <f t="shared" ca="1" si="5"/>
        <v>0</v>
      </c>
      <c r="T25" s="4">
        <f t="shared" ca="1" si="6"/>
        <v>1</v>
      </c>
      <c r="U25">
        <f t="shared" ca="1" si="7"/>
        <v>0</v>
      </c>
      <c r="V25" s="2"/>
      <c r="W25" s="2"/>
      <c r="X25" s="2"/>
      <c r="Y25" s="2"/>
      <c r="Z25" s="2"/>
      <c r="AA25" s="2"/>
      <c r="AB25" s="1"/>
      <c r="AC25" s="1"/>
      <c r="AD25" s="1"/>
      <c r="AE25" s="1"/>
      <c r="AF25" s="1"/>
      <c r="AG25" s="1"/>
      <c r="AH25" s="1"/>
      <c r="AI25" s="1"/>
    </row>
    <row r="26" spans="1:35" ht="18" x14ac:dyDescent="0.35">
      <c r="A26" s="2">
        <v>25</v>
      </c>
      <c r="B26" s="2">
        <f t="shared" ca="1" si="8"/>
        <v>1.3053128726368517</v>
      </c>
      <c r="C26" s="5">
        <f t="shared" ca="1" si="9"/>
        <v>47.695744652013083</v>
      </c>
      <c r="D26" s="2">
        <f t="shared" ca="1" si="2"/>
        <v>0.79601731071508586</v>
      </c>
      <c r="E26" s="2" t="str">
        <f ca="1">LOOKUP(RAND(),{0,0.4,0.7,0.9},{"DEPOSIT","WITHDRAWAL","INQUIRY","LOAN"})</f>
        <v>DEPOSIT</v>
      </c>
      <c r="F26" s="2" t="str">
        <f t="shared" ca="1" si="10"/>
        <v>t1</v>
      </c>
      <c r="G26" s="2">
        <f t="shared" ca="1" si="0"/>
        <v>1.140671731223573</v>
      </c>
      <c r="H26" s="2">
        <f t="shared" ca="1" si="11"/>
        <v>49.685134360677978</v>
      </c>
      <c r="I26" s="2">
        <f t="shared" ca="1" si="12"/>
        <v>49.167334241141411</v>
      </c>
      <c r="J26" s="2">
        <f t="shared" ca="1" si="16"/>
        <v>52.321806994674411</v>
      </c>
      <c r="K26" s="5">
        <f t="shared" ca="1" si="13"/>
        <v>48.544462629454408</v>
      </c>
      <c r="L26" s="2">
        <f t="shared" ca="1" si="1"/>
        <v>49.685134360677978</v>
      </c>
      <c r="M26" s="2">
        <f t="shared" ca="1" si="18"/>
        <v>0.84871797744132493</v>
      </c>
      <c r="N26" s="2">
        <f t="shared" ca="1" si="4"/>
        <v>1</v>
      </c>
      <c r="O26" s="2">
        <f ca="1">COUNTIFS($C$2:C25,"&lt;="&amp;C26,$L$2:L25,"&gt;"&amp;C26)</f>
        <v>4</v>
      </c>
      <c r="P26" s="5">
        <f t="shared" ca="1" si="14"/>
        <v>0</v>
      </c>
      <c r="Q26" s="5">
        <f t="shared" ca="1" si="15"/>
        <v>0</v>
      </c>
      <c r="R26" s="5">
        <f t="shared" ca="1" si="17"/>
        <v>0</v>
      </c>
      <c r="S26" s="2">
        <f t="shared" ca="1" si="5"/>
        <v>1.140671731223573</v>
      </c>
      <c r="T26" s="4">
        <f t="shared" ca="1" si="6"/>
        <v>0</v>
      </c>
      <c r="U26">
        <f t="shared" ca="1" si="7"/>
        <v>0</v>
      </c>
      <c r="V26" s="2"/>
      <c r="W26" s="2"/>
      <c r="X26" s="2"/>
      <c r="Y26" s="2"/>
      <c r="Z26" s="2"/>
      <c r="AA26" s="2"/>
      <c r="AB26" s="1"/>
      <c r="AC26" s="1"/>
      <c r="AD26" s="1"/>
      <c r="AE26" s="1"/>
      <c r="AF26" s="1"/>
      <c r="AG26" s="1"/>
      <c r="AH26" s="1"/>
      <c r="AI26" s="1"/>
    </row>
    <row r="27" spans="1:35" ht="18" x14ac:dyDescent="0.35">
      <c r="A27" s="2">
        <v>26</v>
      </c>
      <c r="B27" s="2">
        <f t="shared" ca="1" si="8"/>
        <v>5.7032139910548842</v>
      </c>
      <c r="C27" s="5">
        <f t="shared" ca="1" si="9"/>
        <v>53.398958643067971</v>
      </c>
      <c r="D27" s="2">
        <f t="shared" ca="1" si="2"/>
        <v>0.69726692267265911</v>
      </c>
      <c r="E27" s="2" t="str">
        <f ca="1">LOOKUP(RAND(),{0,0.4,0.7,0.9},{"DEPOSIT","WITHDRAWAL","INQUIRY","LOAN"})</f>
        <v>DEPOSIT</v>
      </c>
      <c r="F27" s="2" t="str">
        <f t="shared" ca="1" si="10"/>
        <v>t1</v>
      </c>
      <c r="G27" s="2">
        <f t="shared" ca="1" si="0"/>
        <v>1.8029349108682062</v>
      </c>
      <c r="H27" s="2">
        <f t="shared" ca="1" si="11"/>
        <v>55.201893553936173</v>
      </c>
      <c r="I27" s="2">
        <f t="shared" ca="1" si="12"/>
        <v>49.167334241141411</v>
      </c>
      <c r="J27" s="2">
        <f t="shared" ca="1" si="16"/>
        <v>52.321806994674411</v>
      </c>
      <c r="K27" s="5">
        <f t="shared" ca="1" si="13"/>
        <v>53.398958643067971</v>
      </c>
      <c r="L27" s="2">
        <f t="shared" ca="1" si="1"/>
        <v>55.201893553936173</v>
      </c>
      <c r="M27" s="2">
        <f t="shared" ca="1" si="18"/>
        <v>0</v>
      </c>
      <c r="N27" s="2">
        <f t="shared" ca="1" si="4"/>
        <v>0</v>
      </c>
      <c r="O27" s="2">
        <f ca="1">COUNTIFS($C$2:C26,"&lt;="&amp;C27,$L$2:L26,"&gt;"&amp;C27)</f>
        <v>0</v>
      </c>
      <c r="P27" s="5">
        <f t="shared" ca="1" si="14"/>
        <v>0</v>
      </c>
      <c r="Q27" s="5">
        <f t="shared" ca="1" si="15"/>
        <v>4.2316244019265596</v>
      </c>
      <c r="R27" s="5">
        <f t="shared" ca="1" si="17"/>
        <v>1.0771516483935599</v>
      </c>
      <c r="S27" s="2">
        <f t="shared" ca="1" si="5"/>
        <v>1.8029349108682062</v>
      </c>
      <c r="T27" s="4">
        <f t="shared" ca="1" si="6"/>
        <v>0</v>
      </c>
      <c r="U27">
        <f t="shared" ca="1" si="7"/>
        <v>0</v>
      </c>
      <c r="V27" s="2"/>
      <c r="W27" s="2"/>
      <c r="X27" s="2"/>
      <c r="Y27" s="2"/>
      <c r="Z27" s="2"/>
      <c r="AA27" s="2"/>
      <c r="AB27" s="1"/>
      <c r="AC27" s="1"/>
      <c r="AD27" s="1"/>
      <c r="AE27" s="1"/>
      <c r="AF27" s="1"/>
      <c r="AG27" s="1"/>
      <c r="AH27" s="1"/>
      <c r="AI27" s="1"/>
    </row>
    <row r="28" spans="1:35" ht="18" x14ac:dyDescent="0.35">
      <c r="A28" s="2">
        <v>27</v>
      </c>
      <c r="B28" s="2">
        <f t="shared" ca="1" si="8"/>
        <v>1.4418374399258034</v>
      </c>
      <c r="C28" s="5">
        <f t="shared" ca="1" si="9"/>
        <v>54.840796082993776</v>
      </c>
      <c r="D28" s="2">
        <f t="shared" ca="1" si="2"/>
        <v>0.80312645367629254</v>
      </c>
      <c r="E28" s="2" t="str">
        <f ca="1">LOOKUP(RAND(),{0,0.4,0.7,0.9},{"DEPOSIT","WITHDRAWAL","INQUIRY","LOAN"})</f>
        <v>WITHDRAWAL</v>
      </c>
      <c r="F28" s="2" t="str">
        <f t="shared" ca="1" si="10"/>
        <v>t2</v>
      </c>
      <c r="G28" s="2">
        <f t="shared" ca="1" si="0"/>
        <v>1.315458605251409</v>
      </c>
      <c r="H28" s="2">
        <f t="shared" ca="1" si="11"/>
        <v>55.201893553936173</v>
      </c>
      <c r="I28" s="2">
        <f t="shared" ca="1" si="12"/>
        <v>56.156254688245184</v>
      </c>
      <c r="J28" s="2">
        <f t="shared" ca="1" si="16"/>
        <v>52.321806994674411</v>
      </c>
      <c r="K28" s="5">
        <f t="shared" ca="1" si="13"/>
        <v>54.840796082993776</v>
      </c>
      <c r="L28" s="2">
        <f t="shared" ca="1" si="1"/>
        <v>56.156254688245184</v>
      </c>
      <c r="M28" s="2">
        <f t="shared" ca="1" si="18"/>
        <v>0</v>
      </c>
      <c r="N28" s="2">
        <f t="shared" ca="1" si="4"/>
        <v>0</v>
      </c>
      <c r="O28" s="2">
        <f ca="1">COUNTIFS($C$2:C27,"&lt;="&amp;C28,$L$2:L27,"&gt;"&amp;C28)</f>
        <v>1</v>
      </c>
      <c r="P28" s="5">
        <f t="shared" ca="1" si="14"/>
        <v>0</v>
      </c>
      <c r="Q28" s="5">
        <f t="shared" ca="1" si="15"/>
        <v>0</v>
      </c>
      <c r="R28" s="5">
        <f t="shared" ca="1" si="17"/>
        <v>2.5189890883193655</v>
      </c>
      <c r="S28" s="2">
        <f t="shared" ca="1" si="5"/>
        <v>0</v>
      </c>
      <c r="T28" s="4">
        <f t="shared" ca="1" si="6"/>
        <v>1.315458605251409</v>
      </c>
      <c r="U28">
        <f t="shared" ca="1" si="7"/>
        <v>0</v>
      </c>
      <c r="V28" s="2"/>
      <c r="W28" s="2"/>
      <c r="X28" s="2"/>
      <c r="Y28" s="2"/>
      <c r="Z28" s="2"/>
      <c r="AA28" s="2"/>
      <c r="AB28" s="1"/>
      <c r="AC28" s="1"/>
      <c r="AD28" s="1"/>
      <c r="AE28" s="1"/>
      <c r="AF28" s="1"/>
      <c r="AG28" s="1"/>
      <c r="AH28" s="1"/>
      <c r="AI28" s="1"/>
    </row>
    <row r="29" spans="1:35" ht="18" x14ac:dyDescent="0.35">
      <c r="A29" s="2">
        <v>28</v>
      </c>
      <c r="B29" s="2">
        <f t="shared" ca="1" si="8"/>
        <v>0.33939665117426115</v>
      </c>
      <c r="C29" s="5">
        <f t="shared" ca="1" si="9"/>
        <v>55.180192734168038</v>
      </c>
      <c r="D29" s="2">
        <f t="shared" ca="1" si="2"/>
        <v>0.68470769901301631</v>
      </c>
      <c r="E29" s="2" t="str">
        <f ca="1">LOOKUP(RAND(),{0,0.4,0.7,0.9},{"DEPOSIT","WITHDRAWAL","INQUIRY","LOAN"})</f>
        <v>DEPOSIT</v>
      </c>
      <c r="F29" s="2" t="str">
        <f t="shared" ca="1" si="10"/>
        <v>t3</v>
      </c>
      <c r="G29" s="2">
        <f t="shared" ca="1" si="0"/>
        <v>1.8938162427936989</v>
      </c>
      <c r="H29" s="2">
        <f t="shared" ca="1" si="11"/>
        <v>55.201893553936173</v>
      </c>
      <c r="I29" s="2">
        <f t="shared" ca="1" si="12"/>
        <v>56.156254688245184</v>
      </c>
      <c r="J29" s="2">
        <f t="shared" ca="1" si="16"/>
        <v>57.074008976961736</v>
      </c>
      <c r="K29" s="5">
        <f t="shared" ca="1" si="13"/>
        <v>55.180192734168038</v>
      </c>
      <c r="L29" s="2">
        <f t="shared" ca="1" si="1"/>
        <v>57.074008976961736</v>
      </c>
      <c r="M29" s="2">
        <f t="shared" ca="1" si="18"/>
        <v>0</v>
      </c>
      <c r="N29" s="2">
        <f t="shared" ca="1" si="4"/>
        <v>0</v>
      </c>
      <c r="O29" s="2">
        <f ca="1">COUNTIFS($C$2:C28,"&lt;="&amp;C29,$L$2:L28,"&gt;"&amp;C29)</f>
        <v>2</v>
      </c>
      <c r="P29" s="5">
        <f t="shared" ca="1" si="14"/>
        <v>0</v>
      </c>
      <c r="Q29" s="5">
        <f t="shared" ca="1" si="15"/>
        <v>0</v>
      </c>
      <c r="R29" s="5">
        <f t="shared" ca="1" si="17"/>
        <v>0</v>
      </c>
      <c r="S29" s="2">
        <f t="shared" ca="1" si="5"/>
        <v>0</v>
      </c>
      <c r="T29" s="4">
        <f t="shared" ca="1" si="6"/>
        <v>0</v>
      </c>
      <c r="U29">
        <f t="shared" ca="1" si="7"/>
        <v>1.8938162427936989</v>
      </c>
      <c r="V29" s="2"/>
      <c r="W29" s="2"/>
      <c r="X29" s="2"/>
      <c r="Y29" s="2"/>
      <c r="Z29" s="2"/>
      <c r="AA29" s="2"/>
      <c r="AB29" s="1"/>
      <c r="AC29" s="1"/>
      <c r="AD29" s="1"/>
      <c r="AE29" s="1"/>
      <c r="AF29" s="1"/>
      <c r="AG29" s="1"/>
      <c r="AH29" s="1"/>
      <c r="AI29" s="1"/>
    </row>
    <row r="30" spans="1:35" ht="18" x14ac:dyDescent="0.35">
      <c r="A30" s="2">
        <v>29</v>
      </c>
      <c r="B30" s="2">
        <f t="shared" ca="1" si="8"/>
        <v>4.950317335952322</v>
      </c>
      <c r="C30" s="5">
        <f t="shared" ca="1" si="9"/>
        <v>60.130510070120359</v>
      </c>
      <c r="D30" s="2">
        <f t="shared" ca="1" si="2"/>
        <v>0.66519031167539344</v>
      </c>
      <c r="E30" s="2" t="str">
        <f ca="1">LOOKUP(RAND(),{0,0.4,0.7,0.9},{"DEPOSIT","WITHDRAWAL","INQUIRY","LOAN"})</f>
        <v>WITHDRAWAL</v>
      </c>
      <c r="F30" s="2" t="str">
        <f t="shared" ca="1" si="10"/>
        <v>t1</v>
      </c>
      <c r="G30" s="2">
        <f t="shared" ca="1" si="0"/>
        <v>2.4460925777898095</v>
      </c>
      <c r="H30" s="2">
        <f t="shared" ca="1" si="11"/>
        <v>62.576602647910171</v>
      </c>
      <c r="I30" s="2">
        <f t="shared" ca="1" si="12"/>
        <v>56.156254688245184</v>
      </c>
      <c r="J30" s="2">
        <f t="shared" ca="1" si="16"/>
        <v>57.074008976961736</v>
      </c>
      <c r="K30" s="5">
        <f t="shared" ca="1" si="13"/>
        <v>60.130510070120359</v>
      </c>
      <c r="L30" s="2">
        <f t="shared" ca="1" si="1"/>
        <v>62.576602647910171</v>
      </c>
      <c r="M30" s="2">
        <f t="shared" ca="1" si="18"/>
        <v>0</v>
      </c>
      <c r="N30" s="2">
        <f t="shared" ca="1" si="4"/>
        <v>0</v>
      </c>
      <c r="O30" s="2">
        <f ca="1">COUNTIFS($C$2:C29,"&lt;="&amp;C30,$L$2:L29,"&gt;"&amp;C30)</f>
        <v>0</v>
      </c>
      <c r="P30" s="5">
        <f t="shared" ca="1" si="14"/>
        <v>0</v>
      </c>
      <c r="Q30" s="5">
        <f t="shared" ca="1" si="15"/>
        <v>3.9742553818751745</v>
      </c>
      <c r="R30" s="5">
        <f t="shared" ca="1" si="17"/>
        <v>3.056501093158623</v>
      </c>
      <c r="S30" s="2">
        <f t="shared" ca="1" si="5"/>
        <v>2.4460925777898095</v>
      </c>
      <c r="T30" s="4">
        <f t="shared" ca="1" si="6"/>
        <v>0</v>
      </c>
      <c r="U30">
        <f t="shared" ca="1" si="7"/>
        <v>0</v>
      </c>
      <c r="V30" s="2"/>
      <c r="W30" s="2"/>
      <c r="X30" s="2"/>
      <c r="Y30" s="2"/>
      <c r="Z30" s="2"/>
      <c r="AA30" s="2"/>
      <c r="AB30" s="1"/>
      <c r="AC30" s="1"/>
      <c r="AD30" s="1"/>
      <c r="AE30" s="1"/>
      <c r="AF30" s="1"/>
      <c r="AG30" s="1"/>
      <c r="AH30" s="1"/>
      <c r="AI30" s="1"/>
    </row>
    <row r="31" spans="1:35" ht="18" x14ac:dyDescent="0.35">
      <c r="A31" s="2">
        <v>30</v>
      </c>
      <c r="B31" s="2">
        <f t="shared" ca="1" si="8"/>
        <v>1.4625521690712457</v>
      </c>
      <c r="C31" s="5">
        <f t="shared" ca="1" si="9"/>
        <v>61.593062239191603</v>
      </c>
      <c r="D31" s="2">
        <f t="shared" ca="1" si="2"/>
        <v>0.57043766212752656</v>
      </c>
      <c r="E31" s="2" t="str">
        <f ca="1">LOOKUP(RAND(),{0,0.4,0.7,0.9},{"DEPOSIT","WITHDRAWAL","INQUIRY","LOAN"})</f>
        <v>DEPOSIT</v>
      </c>
      <c r="F31" s="2" t="str">
        <f t="shared" ca="1" si="10"/>
        <v>t2</v>
      </c>
      <c r="G31" s="2">
        <f t="shared" ca="1" si="0"/>
        <v>2.8067569224448627</v>
      </c>
      <c r="H31" s="2">
        <f t="shared" ca="1" si="11"/>
        <v>62.576602647910171</v>
      </c>
      <c r="I31" s="2">
        <f t="shared" ca="1" si="12"/>
        <v>64.399819161636472</v>
      </c>
      <c r="J31" s="2">
        <f t="shared" ca="1" si="16"/>
        <v>57.074008976961736</v>
      </c>
      <c r="K31" s="5">
        <f t="shared" ca="1" si="13"/>
        <v>61.593062239191603</v>
      </c>
      <c r="L31" s="2">
        <f t="shared" ca="1" si="1"/>
        <v>64.399819161636472</v>
      </c>
      <c r="M31" s="2">
        <f t="shared" ca="1" si="18"/>
        <v>0</v>
      </c>
      <c r="N31" s="2">
        <f t="shared" ca="1" si="4"/>
        <v>0</v>
      </c>
      <c r="O31" s="2">
        <f ca="1">COUNTIFS($C$2:C30,"&lt;="&amp;C31,$L$2:L30,"&gt;"&amp;C31)</f>
        <v>1</v>
      </c>
      <c r="P31" s="5">
        <f t="shared" ca="1" si="14"/>
        <v>0</v>
      </c>
      <c r="Q31" s="5">
        <f t="shared" ca="1" si="15"/>
        <v>0</v>
      </c>
      <c r="R31" s="5">
        <f t="shared" ca="1" si="17"/>
        <v>4.5190532622298676</v>
      </c>
      <c r="S31" s="2">
        <f t="shared" ca="1" si="5"/>
        <v>0</v>
      </c>
      <c r="T31" s="4">
        <f t="shared" ca="1" si="6"/>
        <v>2.8067569224448627</v>
      </c>
      <c r="U31">
        <f t="shared" ca="1" si="7"/>
        <v>0</v>
      </c>
      <c r="V31" s="2"/>
      <c r="W31" s="2"/>
      <c r="X31" s="2"/>
      <c r="Y31" s="2"/>
      <c r="Z31" s="2"/>
      <c r="AA31" s="2"/>
      <c r="AB31" s="1"/>
      <c r="AC31" s="1"/>
      <c r="AD31" s="1"/>
      <c r="AE31" s="1"/>
      <c r="AF31" s="1"/>
      <c r="AG31" s="1"/>
      <c r="AH31" s="1"/>
      <c r="AI31" s="1"/>
    </row>
    <row r="32" spans="1:35" ht="18" x14ac:dyDescent="0.35">
      <c r="A32" s="2">
        <v>31</v>
      </c>
      <c r="B32" s="2">
        <f t="shared" ca="1" si="8"/>
        <v>1.027065868155741</v>
      </c>
      <c r="C32" s="5">
        <f t="shared" ca="1" si="9"/>
        <v>62.620128107347341</v>
      </c>
      <c r="D32" s="2">
        <f t="shared" ca="1" si="2"/>
        <v>0.37809910414993508</v>
      </c>
      <c r="E32" s="2" t="str">
        <f ca="1">LOOKUP(RAND(),{0,0.4,0.7,0.9},{"DEPOSIT","WITHDRAWAL","INQUIRY","LOAN"})</f>
        <v>DEPOSIT</v>
      </c>
      <c r="F32" s="2" t="str">
        <f t="shared" ca="1" si="10"/>
        <v>t3</v>
      </c>
      <c r="G32" s="2">
        <f t="shared" ca="1" si="0"/>
        <v>4.8629946871748109</v>
      </c>
      <c r="H32" s="2">
        <f t="shared" ca="1" si="11"/>
        <v>62.576602647910171</v>
      </c>
      <c r="I32" s="2">
        <f t="shared" ca="1" si="12"/>
        <v>64.399819161636472</v>
      </c>
      <c r="J32" s="2">
        <f t="shared" ca="1" si="16"/>
        <v>67.483122794522146</v>
      </c>
      <c r="K32" s="5">
        <f t="shared" ca="1" si="13"/>
        <v>62.620128107347341</v>
      </c>
      <c r="L32" s="2">
        <f t="shared" ca="1" si="1"/>
        <v>67.483122794522146</v>
      </c>
      <c r="M32" s="2">
        <f t="shared" ca="1" si="18"/>
        <v>0</v>
      </c>
      <c r="N32" s="2">
        <f t="shared" ca="1" si="4"/>
        <v>0</v>
      </c>
      <c r="O32" s="2">
        <f ca="1">COUNTIFS($C$2:C31,"&lt;="&amp;C32,$L$2:L31,"&gt;"&amp;C32)</f>
        <v>1</v>
      </c>
      <c r="P32" s="5">
        <f t="shared" ca="1" si="14"/>
        <v>4.35254594371699E-2</v>
      </c>
      <c r="Q32" s="5">
        <f t="shared" ca="1" si="15"/>
        <v>0</v>
      </c>
      <c r="R32" s="5">
        <f t="shared" ca="1" si="17"/>
        <v>0</v>
      </c>
      <c r="S32" s="2">
        <f t="shared" ca="1" si="5"/>
        <v>0</v>
      </c>
      <c r="T32" s="4">
        <f t="shared" ca="1" si="6"/>
        <v>0</v>
      </c>
      <c r="U32">
        <f t="shared" ca="1" si="7"/>
        <v>4.8629946871748109</v>
      </c>
      <c r="V32" s="2"/>
      <c r="W32" s="2"/>
      <c r="X32" s="2"/>
      <c r="Y32" s="2"/>
      <c r="Z32" s="2"/>
      <c r="AA32" s="2"/>
      <c r="AB32" s="1"/>
      <c r="AC32" s="1"/>
      <c r="AD32" s="1"/>
      <c r="AE32" s="1"/>
      <c r="AF32" s="1"/>
      <c r="AG32" s="1"/>
      <c r="AH32" s="1"/>
      <c r="AI32" s="1"/>
    </row>
    <row r="33" spans="1:35" ht="18" x14ac:dyDescent="0.35">
      <c r="A33" s="2">
        <v>32</v>
      </c>
      <c r="B33" s="2">
        <f t="shared" ca="1" si="8"/>
        <v>0.53936749414444007</v>
      </c>
      <c r="C33" s="5">
        <f t="shared" ca="1" si="9"/>
        <v>63.159495601491784</v>
      </c>
      <c r="D33" s="2">
        <f t="shared" ca="1" si="2"/>
        <v>0.64819023433358214</v>
      </c>
      <c r="E33" s="2" t="str">
        <f ca="1">LOOKUP(RAND(),{0,0.4,0.7,0.9},{"DEPOSIT","WITHDRAWAL","INQUIRY","LOAN"})</f>
        <v>DEPOSIT</v>
      </c>
      <c r="F33" s="2" t="str">
        <f t="shared" ca="1" si="10"/>
        <v>t1</v>
      </c>
      <c r="G33" s="2">
        <f t="shared" ca="1" si="0"/>
        <v>2.1678552710555121</v>
      </c>
      <c r="H33" s="2">
        <f t="shared" ca="1" si="11"/>
        <v>65.327350872547299</v>
      </c>
      <c r="I33" s="2">
        <f t="shared" ca="1" si="12"/>
        <v>64.399819161636472</v>
      </c>
      <c r="J33" s="2">
        <f t="shared" ca="1" si="16"/>
        <v>67.483122794522146</v>
      </c>
      <c r="K33" s="5">
        <f t="shared" ca="1" si="13"/>
        <v>63.159495601491784</v>
      </c>
      <c r="L33" s="2">
        <f t="shared" ca="1" si="1"/>
        <v>65.327350872547299</v>
      </c>
      <c r="M33" s="2">
        <f t="shared" ca="1" si="18"/>
        <v>0</v>
      </c>
      <c r="N33" s="2">
        <f t="shared" ca="1" si="4"/>
        <v>0</v>
      </c>
      <c r="O33" s="2">
        <f ca="1">COUNTIFS($C$2:C32,"&lt;="&amp;C33,$L$2:L32,"&gt;"&amp;C33)</f>
        <v>2</v>
      </c>
      <c r="P33" s="5">
        <f t="shared" ca="1" si="14"/>
        <v>0</v>
      </c>
      <c r="Q33" s="5">
        <f t="shared" ca="1" si="15"/>
        <v>0</v>
      </c>
      <c r="R33" s="5">
        <f t="shared" ca="1" si="17"/>
        <v>0</v>
      </c>
      <c r="S33" s="2">
        <f t="shared" ca="1" si="5"/>
        <v>2.1678552710555121</v>
      </c>
      <c r="T33" s="4">
        <f t="shared" ca="1" si="6"/>
        <v>0</v>
      </c>
      <c r="U33">
        <f t="shared" ca="1" si="7"/>
        <v>0</v>
      </c>
      <c r="V33" s="2"/>
      <c r="W33" s="2"/>
      <c r="X33" s="2"/>
      <c r="Y33" s="2"/>
      <c r="Z33" s="2"/>
      <c r="AA33" s="2"/>
      <c r="AB33" s="1"/>
      <c r="AC33" s="1"/>
      <c r="AD33" s="1"/>
      <c r="AE33" s="1"/>
      <c r="AF33" s="1"/>
      <c r="AG33" s="1"/>
      <c r="AH33" s="1"/>
      <c r="AI33" s="1"/>
    </row>
    <row r="34" spans="1:35" ht="18" x14ac:dyDescent="0.35">
      <c r="A34" s="2">
        <v>33</v>
      </c>
      <c r="B34" s="2">
        <f t="shared" ca="1" si="8"/>
        <v>1.1339837689630126</v>
      </c>
      <c r="C34" s="5">
        <f t="shared" ca="1" si="9"/>
        <v>64.29347937045479</v>
      </c>
      <c r="D34" s="2">
        <f t="shared" ca="1" si="2"/>
        <v>0.29585711989843033</v>
      </c>
      <c r="E34" s="2" t="str">
        <f ca="1">LOOKUP(RAND(),{0,0.4,0.7,0.9},{"DEPOSIT","WITHDRAWAL","INQUIRY","LOAN"})</f>
        <v>INQUIRY</v>
      </c>
      <c r="F34" s="2" t="str">
        <f t="shared" ca="1" si="10"/>
        <v>t2</v>
      </c>
      <c r="G34" s="2">
        <f t="shared" ref="G34:G65" ca="1" si="19">IF(E34="DEPOSIT",MAX(1,-5*LN(D34)),IF(E34="WITHDRAWAL",MAX(1,-6*LN(D34)),IF(E34="INQUIRY",MAX(1,-4*LN(D34)),MAX(1,-12*LN(D34)))))</f>
        <v>4.8715145769701573</v>
      </c>
      <c r="H34" s="2">
        <f t="shared" ca="1" si="11"/>
        <v>65.327350872547299</v>
      </c>
      <c r="I34" s="2">
        <f t="shared" ca="1" si="12"/>
        <v>69.271333738606629</v>
      </c>
      <c r="J34" s="2">
        <f t="shared" ca="1" si="16"/>
        <v>67.483122794522146</v>
      </c>
      <c r="K34" s="5">
        <f t="shared" ca="1" si="13"/>
        <v>64.399819161636472</v>
      </c>
      <c r="L34" s="2">
        <f t="shared" ref="L34:L65" ca="1" si="20">K34+G34</f>
        <v>69.271333738606629</v>
      </c>
      <c r="M34" s="2">
        <f t="shared" ca="1" si="18"/>
        <v>0.10633979118168213</v>
      </c>
      <c r="N34" s="2">
        <f t="shared" ca="1" si="4"/>
        <v>1</v>
      </c>
      <c r="O34" s="2">
        <f ca="1">COUNTIFS($C$2:C33,"&lt;="&amp;C34,$L$2:L33,"&gt;"&amp;C34)</f>
        <v>3</v>
      </c>
      <c r="P34" s="5">
        <f t="shared" ca="1" si="14"/>
        <v>0</v>
      </c>
      <c r="Q34" s="5">
        <f t="shared" ca="1" si="15"/>
        <v>0</v>
      </c>
      <c r="R34" s="5">
        <f t="shared" ca="1" si="17"/>
        <v>0</v>
      </c>
      <c r="S34" s="2">
        <f t="shared" ca="1" si="5"/>
        <v>0</v>
      </c>
      <c r="T34" s="4">
        <f t="shared" ca="1" si="6"/>
        <v>4.8715145769701573</v>
      </c>
      <c r="U34">
        <f t="shared" ca="1" si="7"/>
        <v>0</v>
      </c>
      <c r="V34" s="2"/>
      <c r="W34" s="2"/>
      <c r="X34" s="2"/>
      <c r="Y34" s="2"/>
      <c r="Z34" s="2"/>
      <c r="AA34" s="2"/>
      <c r="AB34" s="1"/>
      <c r="AC34" s="1"/>
      <c r="AD34" s="1"/>
      <c r="AE34" s="1"/>
      <c r="AF34" s="1"/>
      <c r="AG34" s="1"/>
      <c r="AH34" s="1"/>
      <c r="AI34" s="1"/>
    </row>
    <row r="35" spans="1:35" ht="18" x14ac:dyDescent="0.35">
      <c r="A35" s="2">
        <v>34</v>
      </c>
      <c r="B35" s="2">
        <f t="shared" ca="1" si="8"/>
        <v>8.1360803218226163</v>
      </c>
      <c r="C35" s="5">
        <f t="shared" ca="1" si="9"/>
        <v>72.429559692277408</v>
      </c>
      <c r="D35" s="2">
        <f t="shared" ca="1" si="2"/>
        <v>0.15861313015671008</v>
      </c>
      <c r="E35" s="2" t="str">
        <f ca="1">LOOKUP(RAND(),{0,0.4,0.7,0.9},{"DEPOSIT","WITHDRAWAL","INQUIRY","LOAN"})</f>
        <v>WITHDRAWAL</v>
      </c>
      <c r="F35" s="2" t="str">
        <f t="shared" ca="1" si="10"/>
        <v>t1</v>
      </c>
      <c r="G35" s="2">
        <f t="shared" ca="1" si="19"/>
        <v>11.04772311200872</v>
      </c>
      <c r="H35" s="2">
        <f t="shared" ca="1" si="11"/>
        <v>83.477282804286133</v>
      </c>
      <c r="I35" s="2">
        <f t="shared" ca="1" si="12"/>
        <v>69.271333738606629</v>
      </c>
      <c r="J35" s="2">
        <f t="shared" ca="1" si="16"/>
        <v>67.483122794522146</v>
      </c>
      <c r="K35" s="5">
        <f t="shared" ca="1" si="13"/>
        <v>72.429559692277408</v>
      </c>
      <c r="L35" s="2">
        <f t="shared" ca="1" si="20"/>
        <v>83.477282804286133</v>
      </c>
      <c r="M35" s="2">
        <f t="shared" ca="1" si="18"/>
        <v>0</v>
      </c>
      <c r="N35" s="2">
        <f t="shared" ca="1" si="4"/>
        <v>0</v>
      </c>
      <c r="O35" s="2">
        <f ca="1">COUNTIFS($C$2:C34,"&lt;="&amp;C35,$L$2:L34,"&gt;"&amp;C35)</f>
        <v>0</v>
      </c>
      <c r="P35" s="5">
        <f t="shared" ca="1" si="14"/>
        <v>0</v>
      </c>
      <c r="Q35" s="5">
        <f t="shared" ca="1" si="15"/>
        <v>3.1582259536707795</v>
      </c>
      <c r="R35" s="5">
        <f t="shared" ca="1" si="17"/>
        <v>4.9464368977552624</v>
      </c>
      <c r="S35" s="2">
        <f t="shared" ca="1" si="5"/>
        <v>11.04772311200872</v>
      </c>
      <c r="T35" s="4">
        <f t="shared" ca="1" si="6"/>
        <v>0</v>
      </c>
      <c r="U35">
        <f t="shared" ca="1" si="7"/>
        <v>0</v>
      </c>
      <c r="V35" s="2"/>
      <c r="W35" s="2"/>
      <c r="X35" s="2"/>
      <c r="Y35" s="2"/>
      <c r="Z35" s="2"/>
      <c r="AA35" s="2"/>
      <c r="AB35" s="1"/>
      <c r="AC35" s="1"/>
      <c r="AD35" s="1"/>
      <c r="AE35" s="1"/>
      <c r="AF35" s="1"/>
      <c r="AG35" s="1"/>
      <c r="AH35" s="1"/>
      <c r="AI35" s="1"/>
    </row>
    <row r="36" spans="1:35" ht="18" x14ac:dyDescent="0.35">
      <c r="A36" s="2">
        <v>35</v>
      </c>
      <c r="B36" s="2">
        <f t="shared" ca="1" si="8"/>
        <v>2.9222774128560793</v>
      </c>
      <c r="C36" s="5">
        <f t="shared" ca="1" si="9"/>
        <v>75.351837105133484</v>
      </c>
      <c r="D36" s="2">
        <f t="shared" ca="1" si="2"/>
        <v>6.8467286843618358E-2</v>
      </c>
      <c r="E36" s="2" t="str">
        <f ca="1">LOOKUP(RAND(),{0,0.4,0.7,0.9},{"DEPOSIT","WITHDRAWAL","INQUIRY","LOAN"})</f>
        <v>INQUIRY</v>
      </c>
      <c r="F36" s="2" t="str">
        <f t="shared" ca="1" si="10"/>
        <v>t3</v>
      </c>
      <c r="G36" s="2">
        <f t="shared" ca="1" si="19"/>
        <v>10.725596848443434</v>
      </c>
      <c r="H36" s="2">
        <f t="shared" ca="1" si="11"/>
        <v>83.477282804286133</v>
      </c>
      <c r="I36" s="2">
        <f t="shared" ca="1" si="12"/>
        <v>69.271333738606629</v>
      </c>
      <c r="J36" s="2">
        <f t="shared" ca="1" si="16"/>
        <v>86.077433953576914</v>
      </c>
      <c r="K36" s="5">
        <f t="shared" ca="1" si="13"/>
        <v>75.351837105133484</v>
      </c>
      <c r="L36" s="2">
        <f t="shared" ca="1" si="20"/>
        <v>86.077433953576914</v>
      </c>
      <c r="M36" s="2">
        <f t="shared" ca="1" si="18"/>
        <v>0</v>
      </c>
      <c r="N36" s="2">
        <f t="shared" ca="1" si="4"/>
        <v>0</v>
      </c>
      <c r="O36" s="2">
        <f ca="1">COUNTIFS($C$2:C35,"&lt;="&amp;C36,$L$2:L35,"&gt;"&amp;C36)</f>
        <v>1</v>
      </c>
      <c r="P36" s="5">
        <f t="shared" ca="1" si="14"/>
        <v>0</v>
      </c>
      <c r="Q36" s="5">
        <f t="shared" ca="1" si="15"/>
        <v>6.0805033665268553</v>
      </c>
      <c r="R36" s="5">
        <f t="shared" ca="1" si="17"/>
        <v>0</v>
      </c>
      <c r="S36" s="2">
        <f t="shared" ca="1" si="5"/>
        <v>0</v>
      </c>
      <c r="T36" s="4">
        <f t="shared" ca="1" si="6"/>
        <v>0</v>
      </c>
      <c r="U36">
        <f t="shared" ca="1" si="7"/>
        <v>10.725596848443434</v>
      </c>
      <c r="V36" s="2"/>
      <c r="W36" s="2"/>
      <c r="X36" s="2"/>
      <c r="Y36" s="2"/>
      <c r="Z36" s="2"/>
      <c r="AA36" s="2"/>
      <c r="AB36" s="1"/>
      <c r="AC36" s="1"/>
      <c r="AD36" s="1"/>
      <c r="AE36" s="1"/>
      <c r="AF36" s="1"/>
      <c r="AG36" s="1"/>
      <c r="AH36" s="1"/>
      <c r="AI36" s="1"/>
    </row>
    <row r="37" spans="1:35" ht="18" x14ac:dyDescent="0.35">
      <c r="A37" s="2">
        <v>36</v>
      </c>
      <c r="B37" s="2">
        <f t="shared" ca="1" si="8"/>
        <v>1.7488605032829636</v>
      </c>
      <c r="C37" s="5">
        <f t="shared" ca="1" si="9"/>
        <v>77.100697608416453</v>
      </c>
      <c r="D37" s="2">
        <f t="shared" ca="1" si="2"/>
        <v>0.51183880389456404</v>
      </c>
      <c r="E37" s="2" t="str">
        <f ca="1">LOOKUP(RAND(),{0,0.4,0.7,0.9},{"DEPOSIT","WITHDRAWAL","INQUIRY","LOAN"})</f>
        <v>WITHDRAWAL</v>
      </c>
      <c r="F37" s="2" t="str">
        <f t="shared" ca="1" si="10"/>
        <v>t2</v>
      </c>
      <c r="G37" s="2">
        <f t="shared" ca="1" si="19"/>
        <v>4.0184732379441739</v>
      </c>
      <c r="H37" s="2">
        <f t="shared" ca="1" si="11"/>
        <v>83.477282804286133</v>
      </c>
      <c r="I37" s="2">
        <f t="shared" ca="1" si="12"/>
        <v>81.119170846360632</v>
      </c>
      <c r="J37" s="2">
        <f t="shared" ca="1" si="16"/>
        <v>86.077433953576914</v>
      </c>
      <c r="K37" s="5">
        <f t="shared" ca="1" si="13"/>
        <v>77.100697608416453</v>
      </c>
      <c r="L37" s="2">
        <f t="shared" ca="1" si="20"/>
        <v>81.119170846360632</v>
      </c>
      <c r="M37" s="2">
        <f t="shared" ca="1" si="18"/>
        <v>0</v>
      </c>
      <c r="N37" s="2">
        <f t="shared" ca="1" si="4"/>
        <v>0</v>
      </c>
      <c r="O37" s="2">
        <f ca="1">COUNTIFS($C$2:C36,"&lt;="&amp;C37,$L$2:L36,"&gt;"&amp;C37)</f>
        <v>2</v>
      </c>
      <c r="P37" s="5">
        <f t="shared" ca="1" si="14"/>
        <v>0</v>
      </c>
      <c r="Q37" s="5">
        <f t="shared" ca="1" si="15"/>
        <v>0</v>
      </c>
      <c r="R37" s="5">
        <f t="shared" ca="1" si="17"/>
        <v>0</v>
      </c>
      <c r="S37" s="2">
        <f t="shared" ca="1" si="5"/>
        <v>0</v>
      </c>
      <c r="T37" s="4">
        <f t="shared" ca="1" si="6"/>
        <v>4.0184732379441739</v>
      </c>
      <c r="U37">
        <f t="shared" ca="1" si="7"/>
        <v>0</v>
      </c>
      <c r="V37" s="2"/>
      <c r="W37" s="2"/>
      <c r="X37" s="2"/>
      <c r="Y37" s="2"/>
      <c r="Z37" s="2"/>
      <c r="AA37" s="2"/>
      <c r="AB37" s="1"/>
      <c r="AC37" s="1"/>
      <c r="AD37" s="1"/>
      <c r="AE37" s="1"/>
      <c r="AF37" s="1"/>
      <c r="AG37" s="1"/>
      <c r="AH37" s="1"/>
      <c r="AI37" s="1"/>
    </row>
    <row r="38" spans="1:35" ht="18" x14ac:dyDescent="0.35">
      <c r="A38" s="2">
        <v>37</v>
      </c>
      <c r="B38" s="2">
        <f t="shared" ca="1" si="8"/>
        <v>5.2141407116241822</v>
      </c>
      <c r="C38" s="5">
        <f t="shared" ca="1" si="9"/>
        <v>82.314838320040636</v>
      </c>
      <c r="D38" s="2">
        <f t="shared" ca="1" si="2"/>
        <v>8.2748406957788845E-3</v>
      </c>
      <c r="E38" s="2" t="str">
        <f ca="1">LOOKUP(RAND(),{0,0.4,0.7,0.9},{"DEPOSIT","WITHDRAWAL","INQUIRY","LOAN"})</f>
        <v>WITHDRAWAL</v>
      </c>
      <c r="F38" s="2" t="str">
        <f t="shared" ca="1" si="10"/>
        <v>t2</v>
      </c>
      <c r="G38" s="2">
        <f t="shared" ca="1" si="19"/>
        <v>28.76721365501826</v>
      </c>
      <c r="H38" s="2">
        <f t="shared" ca="1" si="11"/>
        <v>83.477282804286133</v>
      </c>
      <c r="I38" s="2">
        <f t="shared" ca="1" si="12"/>
        <v>111.0820519750589</v>
      </c>
      <c r="J38" s="2">
        <f t="shared" ca="1" si="16"/>
        <v>86.077433953576914</v>
      </c>
      <c r="K38" s="5">
        <f t="shared" ca="1" si="13"/>
        <v>82.314838320040636</v>
      </c>
      <c r="L38" s="2">
        <f t="shared" ca="1" si="20"/>
        <v>111.0820519750589</v>
      </c>
      <c r="M38" s="2">
        <f t="shared" ca="1" si="18"/>
        <v>0</v>
      </c>
      <c r="N38" s="2">
        <f t="shared" ca="1" si="4"/>
        <v>0</v>
      </c>
      <c r="O38" s="2">
        <f ca="1">COUNTIFS($C$2:C37,"&lt;="&amp;C38,$L$2:L37,"&gt;"&amp;C38)</f>
        <v>2</v>
      </c>
      <c r="P38" s="5">
        <f t="shared" ca="1" si="14"/>
        <v>0</v>
      </c>
      <c r="Q38" s="5">
        <f t="shared" ca="1" si="15"/>
        <v>0</v>
      </c>
      <c r="R38" s="5">
        <f t="shared" ca="1" si="17"/>
        <v>0</v>
      </c>
      <c r="S38" s="2">
        <f t="shared" ca="1" si="5"/>
        <v>0</v>
      </c>
      <c r="T38" s="4">
        <f t="shared" ca="1" si="6"/>
        <v>28.76721365501826</v>
      </c>
      <c r="U38">
        <f t="shared" ca="1" si="7"/>
        <v>0</v>
      </c>
      <c r="V38" s="2"/>
      <c r="W38" s="2"/>
      <c r="X38" s="2"/>
      <c r="Y38" s="2"/>
      <c r="Z38" s="2"/>
      <c r="AA38" s="2"/>
      <c r="AB38" s="1"/>
      <c r="AC38" s="1"/>
      <c r="AD38" s="1"/>
      <c r="AE38" s="1"/>
      <c r="AF38" s="1"/>
      <c r="AG38" s="1"/>
      <c r="AH38" s="1"/>
      <c r="AI38" s="1"/>
    </row>
    <row r="39" spans="1:35" ht="18" x14ac:dyDescent="0.35">
      <c r="A39" s="2">
        <v>38</v>
      </c>
      <c r="B39" s="2">
        <f t="shared" ca="1" si="8"/>
        <v>2.5848876614780001</v>
      </c>
      <c r="C39" s="5">
        <f t="shared" ca="1" si="9"/>
        <v>84.899725981518642</v>
      </c>
      <c r="D39" s="2">
        <f t="shared" ca="1" si="2"/>
        <v>1.7095197775274462E-2</v>
      </c>
      <c r="E39" s="2" t="str">
        <f ca="1">LOOKUP(RAND(),{0,0.4,0.7,0.9},{"DEPOSIT","WITHDRAWAL","INQUIRY","LOAN"})</f>
        <v>INQUIRY</v>
      </c>
      <c r="F39" s="2" t="str">
        <f t="shared" ca="1" si="10"/>
        <v>t1</v>
      </c>
      <c r="G39" s="2">
        <f t="shared" ca="1" si="19"/>
        <v>16.275830747077869</v>
      </c>
      <c r="H39" s="2">
        <f t="shared" ca="1" si="11"/>
        <v>101.17555672859652</v>
      </c>
      <c r="I39" s="2">
        <f t="shared" ca="1" si="12"/>
        <v>111.0820519750589</v>
      </c>
      <c r="J39" s="2">
        <f t="shared" ca="1" si="16"/>
        <v>86.077433953576914</v>
      </c>
      <c r="K39" s="5">
        <f t="shared" ca="1" si="13"/>
        <v>84.899725981518642</v>
      </c>
      <c r="L39" s="2">
        <f t="shared" ca="1" si="20"/>
        <v>101.17555672859652</v>
      </c>
      <c r="M39" s="2">
        <f t="shared" ca="1" si="18"/>
        <v>0</v>
      </c>
      <c r="N39" s="2">
        <f t="shared" ca="1" si="4"/>
        <v>0</v>
      </c>
      <c r="O39" s="2">
        <f ca="1">COUNTIFS($C$2:C38,"&lt;="&amp;C39,$L$2:L38,"&gt;"&amp;C39)</f>
        <v>2</v>
      </c>
      <c r="P39" s="5">
        <f t="shared" ca="1" si="14"/>
        <v>0</v>
      </c>
      <c r="Q39" s="5">
        <f t="shared" ca="1" si="15"/>
        <v>0</v>
      </c>
      <c r="R39" s="5">
        <f t="shared" ca="1" si="17"/>
        <v>0</v>
      </c>
      <c r="S39" s="2">
        <f t="shared" ca="1" si="5"/>
        <v>16.275830747077869</v>
      </c>
      <c r="T39" s="4">
        <f t="shared" ca="1" si="6"/>
        <v>0</v>
      </c>
      <c r="U39">
        <f t="shared" ca="1" si="7"/>
        <v>0</v>
      </c>
      <c r="V39" s="2"/>
      <c r="W39" s="2"/>
      <c r="X39" s="2"/>
      <c r="Y39" s="2"/>
      <c r="Z39" s="2"/>
      <c r="AA39" s="2"/>
      <c r="AB39" s="1"/>
      <c r="AC39" s="1"/>
      <c r="AD39" s="1"/>
      <c r="AE39" s="1"/>
      <c r="AF39" s="1"/>
      <c r="AG39" s="1"/>
      <c r="AH39" s="1"/>
      <c r="AI39" s="1"/>
    </row>
    <row r="40" spans="1:35" ht="18" x14ac:dyDescent="0.35">
      <c r="A40" s="2">
        <v>39</v>
      </c>
      <c r="B40" s="2">
        <f t="shared" ca="1" si="8"/>
        <v>4.6882329321766596</v>
      </c>
      <c r="C40" s="5">
        <f t="shared" ca="1" si="9"/>
        <v>89.587958913695303</v>
      </c>
      <c r="D40" s="2">
        <f t="shared" ca="1" si="2"/>
        <v>0.62854196502957016</v>
      </c>
      <c r="E40" s="2" t="str">
        <f ca="1">LOOKUP(RAND(),{0,0.4,0.7,0.9},{"DEPOSIT","WITHDRAWAL","INQUIRY","LOAN"})</f>
        <v>DEPOSIT</v>
      </c>
      <c r="F40" s="2" t="str">
        <f t="shared" ca="1" si="10"/>
        <v>t3</v>
      </c>
      <c r="G40" s="2">
        <f t="shared" ca="1" si="19"/>
        <v>2.3217624152315124</v>
      </c>
      <c r="H40" s="2">
        <f t="shared" ca="1" si="11"/>
        <v>101.17555672859652</v>
      </c>
      <c r="I40" s="2">
        <f t="shared" ca="1" si="12"/>
        <v>111.0820519750589</v>
      </c>
      <c r="J40" s="2">
        <f t="shared" ca="1" si="16"/>
        <v>91.909721328926821</v>
      </c>
      <c r="K40" s="5">
        <f t="shared" ca="1" si="13"/>
        <v>89.587958913695303</v>
      </c>
      <c r="L40" s="2">
        <f t="shared" ca="1" si="20"/>
        <v>91.909721328926821</v>
      </c>
      <c r="M40" s="2">
        <f t="shared" ca="1" si="18"/>
        <v>0</v>
      </c>
      <c r="N40" s="2">
        <f t="shared" ca="1" si="4"/>
        <v>0</v>
      </c>
      <c r="O40" s="2">
        <f ca="1">COUNTIFS($C$2:C39,"&lt;="&amp;C40,$L$2:L39,"&gt;"&amp;C40)</f>
        <v>2</v>
      </c>
      <c r="P40" s="5">
        <f t="shared" ca="1" si="14"/>
        <v>0</v>
      </c>
      <c r="Q40" s="5">
        <f t="shared" ca="1" si="15"/>
        <v>0</v>
      </c>
      <c r="R40" s="5">
        <f t="shared" ca="1" si="17"/>
        <v>0</v>
      </c>
      <c r="S40" s="2">
        <f t="shared" ca="1" si="5"/>
        <v>0</v>
      </c>
      <c r="T40" s="4">
        <f t="shared" ca="1" si="6"/>
        <v>0</v>
      </c>
      <c r="U40">
        <f t="shared" ca="1" si="7"/>
        <v>2.3217624152315124</v>
      </c>
      <c r="V40" s="2"/>
      <c r="W40" s="2"/>
      <c r="X40" s="2"/>
      <c r="Y40" s="2"/>
      <c r="Z40" s="2"/>
      <c r="AA40" s="2"/>
      <c r="AB40" s="1"/>
      <c r="AC40" s="1"/>
      <c r="AD40" s="1"/>
      <c r="AE40" s="1"/>
      <c r="AF40" s="1"/>
      <c r="AG40" s="1"/>
      <c r="AH40" s="1"/>
      <c r="AI40" s="1"/>
    </row>
    <row r="41" spans="1:35" ht="18" x14ac:dyDescent="0.35">
      <c r="A41" s="2">
        <v>40</v>
      </c>
      <c r="B41" s="2">
        <f t="shared" ca="1" si="8"/>
        <v>10.764990622649645</v>
      </c>
      <c r="C41" s="5">
        <f t="shared" ca="1" si="9"/>
        <v>100.35294953634495</v>
      </c>
      <c r="D41" s="2">
        <f t="shared" ca="1" si="2"/>
        <v>0.11098202438223104</v>
      </c>
      <c r="E41" s="2" t="str">
        <f ca="1">LOOKUP(RAND(),{0,0.4,0.7,0.9},{"DEPOSIT","WITHDRAWAL","INQUIRY","LOAN"})</f>
        <v>LOAN</v>
      </c>
      <c r="F41" s="2" t="str">
        <f t="shared" ca="1" si="10"/>
        <v>t3</v>
      </c>
      <c r="G41" s="2">
        <f t="shared" ca="1" si="19"/>
        <v>26.380644399435944</v>
      </c>
      <c r="H41" s="2">
        <f t="shared" ca="1" si="11"/>
        <v>101.17555672859652</v>
      </c>
      <c r="I41" s="2">
        <f t="shared" ca="1" si="12"/>
        <v>111.0820519750589</v>
      </c>
      <c r="J41" s="2">
        <f t="shared" ca="1" si="16"/>
        <v>126.7335939357809</v>
      </c>
      <c r="K41" s="5">
        <f t="shared" ca="1" si="13"/>
        <v>100.35294953634495</v>
      </c>
      <c r="L41" s="2">
        <f t="shared" ca="1" si="20"/>
        <v>126.7335939357809</v>
      </c>
      <c r="M41" s="2">
        <f t="shared" ca="1" si="18"/>
        <v>0</v>
      </c>
      <c r="N41" s="2">
        <f t="shared" ca="1" si="4"/>
        <v>0</v>
      </c>
      <c r="O41" s="2">
        <f ca="1">COUNTIFS($C$2:C40,"&lt;="&amp;C41,$L$2:L40,"&gt;"&amp;C41)</f>
        <v>2</v>
      </c>
      <c r="P41" s="5">
        <f t="shared" ca="1" si="14"/>
        <v>0</v>
      </c>
      <c r="Q41" s="5">
        <f t="shared" ca="1" si="15"/>
        <v>0</v>
      </c>
      <c r="R41" s="5">
        <f t="shared" ca="1" si="17"/>
        <v>0</v>
      </c>
      <c r="S41" s="2">
        <f t="shared" ca="1" si="5"/>
        <v>0</v>
      </c>
      <c r="T41" s="4">
        <f t="shared" ca="1" si="6"/>
        <v>0</v>
      </c>
      <c r="U41">
        <f t="shared" ca="1" si="7"/>
        <v>26.380644399435944</v>
      </c>
      <c r="V41" s="2"/>
      <c r="W41" s="2"/>
      <c r="X41" s="2"/>
      <c r="Y41" s="2"/>
      <c r="Z41" s="2"/>
      <c r="AA41" s="2"/>
      <c r="AB41" s="1"/>
      <c r="AC41" s="1"/>
      <c r="AD41" s="1"/>
      <c r="AE41" s="1"/>
      <c r="AF41" s="1"/>
      <c r="AG41" s="1"/>
      <c r="AH41" s="1"/>
      <c r="AI41" s="1"/>
    </row>
    <row r="42" spans="1:35" ht="18" x14ac:dyDescent="0.35">
      <c r="A42" s="2">
        <v>41</v>
      </c>
      <c r="B42" s="2">
        <f t="shared" ca="1" si="8"/>
        <v>1.9680811184508913</v>
      </c>
      <c r="C42" s="5">
        <f t="shared" ca="1" si="9"/>
        <v>102.32103065479585</v>
      </c>
      <c r="D42" s="2">
        <f t="shared" ca="1" si="2"/>
        <v>0.52529218129322164</v>
      </c>
      <c r="E42" s="2" t="str">
        <f ca="1">LOOKUP(RAND(),{0,0.4,0.7,0.9},{"DEPOSIT","WITHDRAWAL","INQUIRY","LOAN"})</f>
        <v>DEPOSIT</v>
      </c>
      <c r="F42" s="2" t="str">
        <f t="shared" ca="1" si="10"/>
        <v>t1</v>
      </c>
      <c r="G42" s="2">
        <f t="shared" ca="1" si="19"/>
        <v>3.2190031770125604</v>
      </c>
      <c r="H42" s="2">
        <f t="shared" ca="1" si="11"/>
        <v>105.54003383180842</v>
      </c>
      <c r="I42" s="2">
        <f t="shared" ca="1" si="12"/>
        <v>111.0820519750589</v>
      </c>
      <c r="J42" s="2">
        <f t="shared" ca="1" si="16"/>
        <v>126.7335939357809</v>
      </c>
      <c r="K42" s="5">
        <f t="shared" ca="1" si="13"/>
        <v>102.32103065479585</v>
      </c>
      <c r="L42" s="2">
        <f t="shared" ca="1" si="20"/>
        <v>105.54003383180842</v>
      </c>
      <c r="M42" s="2">
        <f t="shared" ca="1" si="18"/>
        <v>0</v>
      </c>
      <c r="N42" s="2">
        <f t="shared" ca="1" si="4"/>
        <v>0</v>
      </c>
      <c r="O42" s="2">
        <f ca="1">COUNTIFS($C$2:C41,"&lt;="&amp;C42,$L$2:L41,"&gt;"&amp;C42)</f>
        <v>2</v>
      </c>
      <c r="P42" s="5">
        <f t="shared" ca="1" si="14"/>
        <v>0</v>
      </c>
      <c r="Q42" s="5">
        <f t="shared" ca="1" si="15"/>
        <v>0</v>
      </c>
      <c r="R42" s="5">
        <f t="shared" ca="1" si="17"/>
        <v>0</v>
      </c>
      <c r="S42" s="2">
        <f t="shared" ca="1" si="5"/>
        <v>3.2190031770125604</v>
      </c>
      <c r="T42" s="4">
        <f t="shared" ca="1" si="6"/>
        <v>0</v>
      </c>
      <c r="U42">
        <f t="shared" ca="1" si="7"/>
        <v>0</v>
      </c>
      <c r="V42" s="2"/>
      <c r="W42" s="2"/>
      <c r="X42" s="2"/>
      <c r="Y42" s="2"/>
      <c r="Z42" s="2"/>
      <c r="AA42" s="2"/>
      <c r="AB42" s="1"/>
      <c r="AC42" s="1"/>
      <c r="AD42" s="1"/>
      <c r="AE42" s="1"/>
      <c r="AF42" s="1"/>
      <c r="AG42" s="1"/>
      <c r="AH42" s="1"/>
      <c r="AI42" s="1"/>
    </row>
    <row r="43" spans="1:35" ht="18" x14ac:dyDescent="0.35">
      <c r="A43" s="2">
        <v>42</v>
      </c>
      <c r="B43" s="2">
        <f t="shared" ca="1" si="8"/>
        <v>2.4690941606602728</v>
      </c>
      <c r="C43" s="5">
        <f t="shared" ca="1" si="9"/>
        <v>104.79012481545612</v>
      </c>
      <c r="D43" s="2">
        <f t="shared" ca="1" si="2"/>
        <v>0.41729031123357141</v>
      </c>
      <c r="E43" s="2" t="str">
        <f ca="1">LOOKUP(RAND(),{0,0.4,0.7,0.9},{"DEPOSIT","WITHDRAWAL","INQUIRY","LOAN"})</f>
        <v>INQUIRY</v>
      </c>
      <c r="F43" s="2" t="str">
        <f t="shared" ca="1" si="10"/>
        <v>t1</v>
      </c>
      <c r="G43" s="2">
        <f t="shared" ca="1" si="19"/>
        <v>3.4958924376104688</v>
      </c>
      <c r="H43" s="2">
        <f t="shared" ca="1" si="11"/>
        <v>109.03592626941888</v>
      </c>
      <c r="I43" s="2">
        <f t="shared" ca="1" si="12"/>
        <v>111.0820519750589</v>
      </c>
      <c r="J43" s="2">
        <f t="shared" ca="1" si="16"/>
        <v>126.7335939357809</v>
      </c>
      <c r="K43" s="5">
        <f t="shared" ca="1" si="13"/>
        <v>105.54003383180842</v>
      </c>
      <c r="L43" s="2">
        <f t="shared" ca="1" si="20"/>
        <v>109.03592626941888</v>
      </c>
      <c r="M43" s="2">
        <f t="shared" ca="1" si="18"/>
        <v>0.74990901635229079</v>
      </c>
      <c r="N43" s="2">
        <f t="shared" ca="1" si="4"/>
        <v>1</v>
      </c>
      <c r="O43" s="2">
        <f ca="1">COUNTIFS($C$2:C42,"&lt;="&amp;C43,$L$2:L42,"&gt;"&amp;C43)</f>
        <v>3</v>
      </c>
      <c r="P43" s="5">
        <f t="shared" ca="1" si="14"/>
        <v>0</v>
      </c>
      <c r="Q43" s="5">
        <f t="shared" ca="1" si="15"/>
        <v>0</v>
      </c>
      <c r="R43" s="5">
        <f t="shared" ca="1" si="17"/>
        <v>0</v>
      </c>
      <c r="S43" s="2">
        <f t="shared" ca="1" si="5"/>
        <v>3.4958924376104688</v>
      </c>
      <c r="T43" s="4">
        <f t="shared" ca="1" si="6"/>
        <v>0</v>
      </c>
      <c r="U43">
        <f t="shared" ca="1" si="7"/>
        <v>0</v>
      </c>
      <c r="V43" s="2"/>
      <c r="W43" s="2"/>
      <c r="X43" s="2"/>
      <c r="Y43" s="2"/>
      <c r="Z43" s="2"/>
      <c r="AA43" s="2"/>
      <c r="AB43" s="1"/>
      <c r="AC43" s="1"/>
      <c r="AD43" s="1"/>
      <c r="AE43" s="1"/>
      <c r="AF43" s="1"/>
      <c r="AG43" s="1"/>
      <c r="AH43" s="1"/>
      <c r="AI43" s="1"/>
    </row>
    <row r="44" spans="1:35" ht="18" x14ac:dyDescent="0.35">
      <c r="A44" s="2">
        <v>43</v>
      </c>
      <c r="B44" s="2">
        <f t="shared" ca="1" si="8"/>
        <v>5.485968835948421E-2</v>
      </c>
      <c r="C44" s="5">
        <f t="shared" ca="1" si="9"/>
        <v>104.84498450381561</v>
      </c>
      <c r="D44" s="2">
        <f t="shared" ca="1" si="2"/>
        <v>0.89827590100027044</v>
      </c>
      <c r="E44" s="2" t="str">
        <f ca="1">LOOKUP(RAND(),{0,0.4,0.7,0.9},{"DEPOSIT","WITHDRAWAL","INQUIRY","LOAN"})</f>
        <v>DEPOSIT</v>
      </c>
      <c r="F44" s="2" t="str">
        <f t="shared" ca="1" si="10"/>
        <v>t1</v>
      </c>
      <c r="G44" s="2">
        <f t="shared" ca="1" si="19"/>
        <v>1</v>
      </c>
      <c r="H44" s="2">
        <f t="shared" ca="1" si="11"/>
        <v>110.03592626941888</v>
      </c>
      <c r="I44" s="2">
        <f t="shared" ca="1" si="12"/>
        <v>111.0820519750589</v>
      </c>
      <c r="J44" s="2">
        <f t="shared" ca="1" si="16"/>
        <v>126.7335939357809</v>
      </c>
      <c r="K44" s="5">
        <f t="shared" ca="1" si="13"/>
        <v>109.03592626941888</v>
      </c>
      <c r="L44" s="2">
        <f t="shared" ca="1" si="20"/>
        <v>110.03592626941888</v>
      </c>
      <c r="M44" s="2">
        <f t="shared" ca="1" si="18"/>
        <v>4.1909417656032701</v>
      </c>
      <c r="N44" s="2">
        <f t="shared" ca="1" si="4"/>
        <v>1</v>
      </c>
      <c r="O44" s="2">
        <f ca="1">COUNTIFS($C$2:C43,"&lt;="&amp;C44,$L$2:L43,"&gt;"&amp;C44)</f>
        <v>4</v>
      </c>
      <c r="P44" s="5">
        <f t="shared" ca="1" si="14"/>
        <v>0</v>
      </c>
      <c r="Q44" s="5">
        <f t="shared" ca="1" si="15"/>
        <v>0</v>
      </c>
      <c r="R44" s="5">
        <f t="shared" ca="1" si="17"/>
        <v>0</v>
      </c>
      <c r="S44" s="2">
        <f t="shared" ca="1" si="5"/>
        <v>1</v>
      </c>
      <c r="T44" s="4">
        <f t="shared" ca="1" si="6"/>
        <v>0</v>
      </c>
      <c r="U44">
        <f t="shared" ca="1" si="7"/>
        <v>0</v>
      </c>
      <c r="V44" s="2"/>
      <c r="W44" s="2"/>
      <c r="X44" s="2"/>
      <c r="Y44" s="2"/>
      <c r="Z44" s="2"/>
      <c r="AA44" s="2"/>
      <c r="AB44" s="1"/>
      <c r="AC44" s="1"/>
      <c r="AD44" s="1"/>
      <c r="AE44" s="1"/>
      <c r="AF44" s="1"/>
      <c r="AG44" s="1"/>
      <c r="AH44" s="1"/>
      <c r="AI44" s="1"/>
    </row>
    <row r="45" spans="1:35" ht="18" x14ac:dyDescent="0.35">
      <c r="A45" s="2">
        <v>44</v>
      </c>
      <c r="B45" s="2">
        <f t="shared" ca="1" si="8"/>
        <v>1.7595007862940919E-2</v>
      </c>
      <c r="C45" s="5">
        <f t="shared" ca="1" si="9"/>
        <v>104.86257951167855</v>
      </c>
      <c r="D45" s="2">
        <f t="shared" ca="1" si="2"/>
        <v>0.43414416394720046</v>
      </c>
      <c r="E45" s="2" t="str">
        <f ca="1">LOOKUP(RAND(),{0,0.4,0.7,0.9},{"DEPOSIT","WITHDRAWAL","INQUIRY","LOAN"})</f>
        <v>WITHDRAWAL</v>
      </c>
      <c r="F45" s="2" t="str">
        <f t="shared" ca="1" si="10"/>
        <v>t1</v>
      </c>
      <c r="G45" s="2">
        <f t="shared" ca="1" si="19"/>
        <v>5.0062717502764889</v>
      </c>
      <c r="H45" s="2">
        <f t="shared" ca="1" si="11"/>
        <v>115.04219801969536</v>
      </c>
      <c r="I45" s="2">
        <f t="shared" ca="1" si="12"/>
        <v>111.0820519750589</v>
      </c>
      <c r="J45" s="2">
        <f t="shared" ca="1" si="16"/>
        <v>126.7335939357809</v>
      </c>
      <c r="K45" s="5">
        <f t="shared" ca="1" si="13"/>
        <v>110.03592626941888</v>
      </c>
      <c r="L45" s="2">
        <f t="shared" ca="1" si="20"/>
        <v>115.04219801969536</v>
      </c>
      <c r="M45" s="2">
        <f t="shared" ca="1" si="18"/>
        <v>5.1733467577403331</v>
      </c>
      <c r="N45" s="2">
        <f t="shared" ca="1" si="4"/>
        <v>1</v>
      </c>
      <c r="O45" s="2">
        <f ca="1">COUNTIFS($C$2:C44,"&lt;="&amp;C45,$L$2:L44,"&gt;"&amp;C45)</f>
        <v>5</v>
      </c>
      <c r="P45" s="5">
        <f t="shared" ca="1" si="14"/>
        <v>0</v>
      </c>
      <c r="Q45" s="5">
        <f t="shared" ca="1" si="15"/>
        <v>0</v>
      </c>
      <c r="R45" s="5">
        <f t="shared" ca="1" si="17"/>
        <v>0</v>
      </c>
      <c r="S45" s="2">
        <f t="shared" ca="1" si="5"/>
        <v>5.0062717502764889</v>
      </c>
      <c r="T45" s="4">
        <f t="shared" ca="1" si="6"/>
        <v>0</v>
      </c>
      <c r="U45">
        <f t="shared" ca="1" si="7"/>
        <v>0</v>
      </c>
      <c r="V45" s="2"/>
      <c r="W45" s="2"/>
      <c r="X45" s="2"/>
      <c r="Y45" s="2"/>
      <c r="Z45" s="2"/>
      <c r="AA45" s="2"/>
      <c r="AB45" s="1"/>
      <c r="AC45" s="1"/>
      <c r="AD45" s="1"/>
      <c r="AE45" s="1"/>
      <c r="AF45" s="1"/>
      <c r="AG45" s="1"/>
      <c r="AH45" s="1"/>
      <c r="AI45" s="1"/>
    </row>
    <row r="46" spans="1:35" ht="18" x14ac:dyDescent="0.35">
      <c r="A46" s="2">
        <v>45</v>
      </c>
      <c r="B46" s="2">
        <f t="shared" ca="1" si="8"/>
        <v>1.4189142113137054</v>
      </c>
      <c r="C46" s="5">
        <f t="shared" ca="1" si="9"/>
        <v>106.28149372299225</v>
      </c>
      <c r="D46" s="2">
        <f t="shared" ca="1" si="2"/>
        <v>0.22286424500444413</v>
      </c>
      <c r="E46" s="2" t="str">
        <f ca="1">LOOKUP(RAND(),{0,0.4,0.7,0.9},{"DEPOSIT","WITHDRAWAL","INQUIRY","LOAN"})</f>
        <v>INQUIRY</v>
      </c>
      <c r="F46" s="2" t="str">
        <f t="shared" ca="1" si="10"/>
        <v>t2</v>
      </c>
      <c r="G46" s="2">
        <f t="shared" ca="1" si="19"/>
        <v>6.0047698387679036</v>
      </c>
      <c r="H46" s="2">
        <f t="shared" ca="1" si="11"/>
        <v>115.04219801969536</v>
      </c>
      <c r="I46" s="2">
        <f t="shared" ca="1" si="12"/>
        <v>117.0868218138268</v>
      </c>
      <c r="J46" s="2">
        <f t="shared" ca="1" si="16"/>
        <v>126.7335939357809</v>
      </c>
      <c r="K46" s="5">
        <f t="shared" ca="1" si="13"/>
        <v>111.0820519750589</v>
      </c>
      <c r="L46" s="2">
        <f t="shared" ca="1" si="20"/>
        <v>117.0868218138268</v>
      </c>
      <c r="M46" s="2">
        <f t="shared" ca="1" si="18"/>
        <v>4.8005582520666508</v>
      </c>
      <c r="N46" s="2">
        <f t="shared" ca="1" si="4"/>
        <v>1</v>
      </c>
      <c r="O46" s="2">
        <f ca="1">COUNTIFS($C$2:C45,"&lt;="&amp;C46,$L$2:L45,"&gt;"&amp;C46)</f>
        <v>5</v>
      </c>
      <c r="P46" s="5">
        <f t="shared" ca="1" si="14"/>
        <v>0</v>
      </c>
      <c r="Q46" s="5">
        <f t="shared" ca="1" si="15"/>
        <v>0</v>
      </c>
      <c r="R46" s="5">
        <f t="shared" ca="1" si="17"/>
        <v>0</v>
      </c>
      <c r="S46" s="2">
        <f t="shared" ca="1" si="5"/>
        <v>0</v>
      </c>
      <c r="T46" s="4">
        <f t="shared" ca="1" si="6"/>
        <v>6.0047698387679036</v>
      </c>
      <c r="U46">
        <f t="shared" ca="1" si="7"/>
        <v>0</v>
      </c>
      <c r="V46" s="2"/>
      <c r="W46" s="2"/>
      <c r="X46" s="2"/>
      <c r="Y46" s="2"/>
      <c r="Z46" s="2"/>
      <c r="AA46" s="2"/>
      <c r="AB46" s="1"/>
      <c r="AC46" s="1"/>
      <c r="AD46" s="1"/>
      <c r="AE46" s="1"/>
      <c r="AF46" s="1"/>
      <c r="AG46" s="1"/>
      <c r="AH46" s="1"/>
      <c r="AI46" s="1"/>
    </row>
    <row r="47" spans="1:35" ht="18" x14ac:dyDescent="0.35">
      <c r="A47" s="2">
        <v>46</v>
      </c>
      <c r="B47" s="2">
        <f t="shared" ca="1" si="8"/>
        <v>8.8154519868229215</v>
      </c>
      <c r="C47" s="5">
        <f t="shared" ca="1" si="9"/>
        <v>115.09694570981517</v>
      </c>
      <c r="D47" s="2">
        <f t="shared" ca="1" si="2"/>
        <v>0.39139776347684863</v>
      </c>
      <c r="E47" s="2" t="str">
        <f ca="1">LOOKUP(RAND(),{0,0.4,0.7,0.9},{"DEPOSIT","WITHDRAWAL","INQUIRY","LOAN"})</f>
        <v>DEPOSIT</v>
      </c>
      <c r="F47" s="2" t="str">
        <f t="shared" ca="1" si="10"/>
        <v>t1</v>
      </c>
      <c r="G47" s="2">
        <f t="shared" ca="1" si="19"/>
        <v>4.6901546909942819</v>
      </c>
      <c r="H47" s="2">
        <f t="shared" ca="1" si="11"/>
        <v>119.78710040080945</v>
      </c>
      <c r="I47" s="2">
        <f t="shared" ca="1" si="12"/>
        <v>117.0868218138268</v>
      </c>
      <c r="J47" s="2">
        <f t="shared" ca="1" si="16"/>
        <v>126.7335939357809</v>
      </c>
      <c r="K47" s="5">
        <f t="shared" ca="1" si="13"/>
        <v>115.09694570981517</v>
      </c>
      <c r="L47" s="2">
        <f t="shared" ca="1" si="20"/>
        <v>119.78710040080945</v>
      </c>
      <c r="M47" s="2">
        <f t="shared" ca="1" si="18"/>
        <v>0</v>
      </c>
      <c r="N47" s="2">
        <f t="shared" ca="1" si="4"/>
        <v>0</v>
      </c>
      <c r="O47" s="2">
        <f ca="1">COUNTIFS($C$2:C46,"&lt;="&amp;C47,$L$2:L46,"&gt;"&amp;C47)</f>
        <v>2</v>
      </c>
      <c r="P47" s="5">
        <f t="shared" ca="1" si="14"/>
        <v>0</v>
      </c>
      <c r="Q47" s="5">
        <f t="shared" ca="1" si="15"/>
        <v>0</v>
      </c>
      <c r="R47" s="5">
        <f t="shared" ca="1" si="17"/>
        <v>0</v>
      </c>
      <c r="S47" s="2">
        <f t="shared" ca="1" si="5"/>
        <v>4.6901546909942819</v>
      </c>
      <c r="T47" s="4">
        <f t="shared" ca="1" si="6"/>
        <v>0</v>
      </c>
      <c r="U47">
        <f t="shared" ca="1" si="7"/>
        <v>0</v>
      </c>
      <c r="V47" s="2"/>
      <c r="W47" s="2"/>
      <c r="X47" s="2"/>
      <c r="Y47" s="2"/>
      <c r="Z47" s="2"/>
      <c r="AA47" s="2"/>
      <c r="AB47" s="1"/>
      <c r="AC47" s="1"/>
      <c r="AD47" s="1"/>
      <c r="AE47" s="1"/>
      <c r="AF47" s="1"/>
      <c r="AG47" s="1"/>
      <c r="AH47" s="1"/>
      <c r="AI47" s="1"/>
    </row>
    <row r="48" spans="1:35" ht="18" x14ac:dyDescent="0.35">
      <c r="A48" s="2">
        <v>47</v>
      </c>
      <c r="B48" s="2">
        <f t="shared" ca="1" si="8"/>
        <v>0.24327414615360951</v>
      </c>
      <c r="C48" s="5">
        <f t="shared" ca="1" si="9"/>
        <v>115.34021985596878</v>
      </c>
      <c r="D48" s="2">
        <f t="shared" ca="1" si="2"/>
        <v>0.42541894483658682</v>
      </c>
      <c r="E48" s="2" t="str">
        <f ca="1">LOOKUP(RAND(),{0,0.4,0.7,0.9},{"DEPOSIT","WITHDRAWAL","INQUIRY","LOAN"})</f>
        <v>LOAN</v>
      </c>
      <c r="F48" s="2" t="str">
        <f t="shared" ca="1" si="10"/>
        <v>t2</v>
      </c>
      <c r="G48" s="2">
        <f t="shared" ca="1" si="19"/>
        <v>10.256170116432537</v>
      </c>
      <c r="H48" s="2">
        <f t="shared" ca="1" si="11"/>
        <v>119.78710040080945</v>
      </c>
      <c r="I48" s="2">
        <f t="shared" ca="1" si="12"/>
        <v>127.34299193025934</v>
      </c>
      <c r="J48" s="2">
        <f t="shared" ca="1" si="16"/>
        <v>126.7335939357809</v>
      </c>
      <c r="K48" s="5">
        <f t="shared" ca="1" si="13"/>
        <v>117.0868218138268</v>
      </c>
      <c r="L48" s="2">
        <f t="shared" ca="1" si="20"/>
        <v>127.34299193025934</v>
      </c>
      <c r="M48" s="2">
        <f t="shared" ca="1" si="18"/>
        <v>1.7466019578580187</v>
      </c>
      <c r="N48" s="2">
        <f t="shared" ca="1" si="4"/>
        <v>1</v>
      </c>
      <c r="O48" s="2">
        <f ca="1">COUNTIFS($C$2:C47,"&lt;="&amp;C48,$L$2:L47,"&gt;"&amp;C48)</f>
        <v>3</v>
      </c>
      <c r="P48" s="5">
        <f t="shared" ca="1" si="14"/>
        <v>0</v>
      </c>
      <c r="Q48" s="5">
        <f t="shared" ca="1" si="15"/>
        <v>0</v>
      </c>
      <c r="R48" s="5">
        <f t="shared" ca="1" si="17"/>
        <v>0</v>
      </c>
      <c r="S48" s="2">
        <f t="shared" ca="1" si="5"/>
        <v>0</v>
      </c>
      <c r="T48" s="4">
        <f t="shared" ca="1" si="6"/>
        <v>10.256170116432537</v>
      </c>
      <c r="U48">
        <f t="shared" ca="1" si="7"/>
        <v>0</v>
      </c>
      <c r="V48" s="2"/>
      <c r="W48" s="2"/>
      <c r="X48" s="2"/>
      <c r="Y48" s="2"/>
      <c r="Z48" s="2"/>
      <c r="AA48" s="2"/>
      <c r="AB48" s="1"/>
      <c r="AC48" s="1"/>
      <c r="AD48" s="1"/>
      <c r="AE48" s="1"/>
      <c r="AF48" s="1"/>
      <c r="AG48" s="1"/>
      <c r="AH48" s="1"/>
      <c r="AI48" s="1"/>
    </row>
    <row r="49" spans="1:35" ht="18" x14ac:dyDescent="0.35">
      <c r="A49" s="2">
        <v>48</v>
      </c>
      <c r="B49" s="2">
        <f t="shared" ca="1" si="8"/>
        <v>1.0470083198428513</v>
      </c>
      <c r="C49" s="5">
        <f t="shared" ca="1" si="9"/>
        <v>116.38722817581163</v>
      </c>
      <c r="D49" s="2">
        <f t="shared" ca="1" si="2"/>
        <v>0.93035465990908317</v>
      </c>
      <c r="E49" s="2" t="str">
        <f ca="1">LOOKUP(RAND(),{0,0.4,0.7,0.9},{"DEPOSIT","WITHDRAWAL","INQUIRY","LOAN"})</f>
        <v>DEPOSIT</v>
      </c>
      <c r="F49" s="2" t="str">
        <f t="shared" ca="1" si="10"/>
        <v>t1</v>
      </c>
      <c r="G49" s="2">
        <f t="shared" ca="1" si="19"/>
        <v>1</v>
      </c>
      <c r="H49" s="2">
        <f t="shared" ca="1" si="11"/>
        <v>120.78710040080945</v>
      </c>
      <c r="I49" s="2">
        <f t="shared" ca="1" si="12"/>
        <v>127.34299193025934</v>
      </c>
      <c r="J49" s="2">
        <f t="shared" ca="1" si="16"/>
        <v>126.7335939357809</v>
      </c>
      <c r="K49" s="5">
        <f t="shared" ca="1" si="13"/>
        <v>119.78710040080945</v>
      </c>
      <c r="L49" s="2">
        <f t="shared" ca="1" si="20"/>
        <v>120.78710040080945</v>
      </c>
      <c r="M49" s="2">
        <f t="shared" ca="1" si="18"/>
        <v>3.3998722249978215</v>
      </c>
      <c r="N49" s="2">
        <f t="shared" ca="1" si="4"/>
        <v>1</v>
      </c>
      <c r="O49" s="2">
        <f ca="1">COUNTIFS($C$2:C48,"&lt;="&amp;C49,$L$2:L48,"&gt;"&amp;C49)</f>
        <v>4</v>
      </c>
      <c r="P49" s="5">
        <f t="shared" ca="1" si="14"/>
        <v>0</v>
      </c>
      <c r="Q49" s="5">
        <f t="shared" ca="1" si="15"/>
        <v>0</v>
      </c>
      <c r="R49" s="5">
        <f t="shared" ca="1" si="17"/>
        <v>0</v>
      </c>
      <c r="S49" s="2">
        <f t="shared" ca="1" si="5"/>
        <v>1</v>
      </c>
      <c r="T49" s="4">
        <f t="shared" ca="1" si="6"/>
        <v>0</v>
      </c>
      <c r="U49">
        <f t="shared" ca="1" si="7"/>
        <v>0</v>
      </c>
      <c r="V49" s="2"/>
      <c r="W49" s="2"/>
      <c r="X49" s="2"/>
      <c r="Y49" s="2"/>
      <c r="Z49" s="2"/>
      <c r="AA49" s="2"/>
      <c r="AB49" s="1"/>
      <c r="AC49" s="1"/>
      <c r="AD49" s="1"/>
      <c r="AE49" s="1"/>
      <c r="AF49" s="1"/>
      <c r="AG49" s="1"/>
      <c r="AH49" s="1"/>
      <c r="AI49" s="1"/>
    </row>
    <row r="50" spans="1:35" ht="18" x14ac:dyDescent="0.35">
      <c r="A50" s="2">
        <v>49</v>
      </c>
      <c r="B50" s="2">
        <f t="shared" ca="1" si="8"/>
        <v>9.1189638785943064E-2</v>
      </c>
      <c r="C50" s="5">
        <f t="shared" ca="1" si="9"/>
        <v>116.47841781459758</v>
      </c>
      <c r="D50" s="2">
        <f t="shared" ca="1" si="2"/>
        <v>0.75472048862739227</v>
      </c>
      <c r="E50" s="2" t="str">
        <f ca="1">LOOKUP(RAND(),{0,0.4,0.7,0.9},{"DEPOSIT","WITHDRAWAL","INQUIRY","LOAN"})</f>
        <v>DEPOSIT</v>
      </c>
      <c r="F50" s="2" t="str">
        <f t="shared" ca="1" si="10"/>
        <v>t1</v>
      </c>
      <c r="G50" s="2">
        <f t="shared" ca="1" si="19"/>
        <v>1.4070390600884504</v>
      </c>
      <c r="H50" s="2">
        <f t="shared" ca="1" si="11"/>
        <v>122.1941394608979</v>
      </c>
      <c r="I50" s="2">
        <f t="shared" ca="1" si="12"/>
        <v>127.34299193025934</v>
      </c>
      <c r="J50" s="2">
        <f t="shared" ca="1" si="16"/>
        <v>126.7335939357809</v>
      </c>
      <c r="K50" s="5">
        <f t="shared" ca="1" si="13"/>
        <v>120.78710040080945</v>
      </c>
      <c r="L50" s="2">
        <f t="shared" ca="1" si="20"/>
        <v>122.1941394608979</v>
      </c>
      <c r="M50" s="2">
        <f t="shared" ca="1" si="18"/>
        <v>4.3086825862118729</v>
      </c>
      <c r="N50" s="2">
        <f t="shared" ca="1" si="4"/>
        <v>1</v>
      </c>
      <c r="O50" s="2">
        <f ca="1">COUNTIFS($C$2:C49,"&lt;="&amp;C50,$L$2:L49,"&gt;"&amp;C50)</f>
        <v>5</v>
      </c>
      <c r="P50" s="5">
        <f t="shared" ca="1" si="14"/>
        <v>0</v>
      </c>
      <c r="Q50" s="5">
        <f t="shared" ca="1" si="15"/>
        <v>0</v>
      </c>
      <c r="R50" s="5">
        <f t="shared" ca="1" si="17"/>
        <v>0</v>
      </c>
      <c r="S50" s="2">
        <f t="shared" ca="1" si="5"/>
        <v>1.4070390600884504</v>
      </c>
      <c r="T50" s="4">
        <f t="shared" ca="1" si="6"/>
        <v>0</v>
      </c>
      <c r="U50">
        <f t="shared" ca="1" si="7"/>
        <v>0</v>
      </c>
      <c r="V50" s="2"/>
      <c r="W50" s="2"/>
      <c r="X50" s="2"/>
      <c r="Y50" s="2"/>
      <c r="Z50" s="2"/>
      <c r="AA50" s="2"/>
      <c r="AB50" s="1"/>
      <c r="AC50" s="1"/>
      <c r="AD50" s="1"/>
      <c r="AE50" s="1"/>
      <c r="AF50" s="1"/>
      <c r="AG50" s="1"/>
      <c r="AH50" s="1"/>
      <c r="AI50" s="1"/>
    </row>
    <row r="51" spans="1:35" ht="18" x14ac:dyDescent="0.35">
      <c r="A51" s="2">
        <v>50</v>
      </c>
      <c r="B51" s="2">
        <f t="shared" ca="1" si="8"/>
        <v>4.9038367000645726E-2</v>
      </c>
      <c r="C51" s="5">
        <f t="shared" ca="1" si="9"/>
        <v>116.52745618159823</v>
      </c>
      <c r="D51" s="2">
        <f t="shared" ca="1" si="2"/>
        <v>0.4262883241279497</v>
      </c>
      <c r="E51" s="2" t="str">
        <f ca="1">LOOKUP(RAND(),{0,0.4,0.7,0.9},{"DEPOSIT","WITHDRAWAL","INQUIRY","LOAN"})</f>
        <v>DEPOSIT</v>
      </c>
      <c r="F51" s="2" t="str">
        <f t="shared" ca="1" si="10"/>
        <v>t1</v>
      </c>
      <c r="G51" s="2">
        <f t="shared" ca="1" si="19"/>
        <v>4.2631967222423786</v>
      </c>
      <c r="H51" s="2">
        <f t="shared" ca="1" si="11"/>
        <v>126.45733618314028</v>
      </c>
      <c r="I51" s="2">
        <f t="shared" ca="1" si="12"/>
        <v>127.34299193025934</v>
      </c>
      <c r="J51" s="2">
        <f t="shared" ca="1" si="16"/>
        <v>126.7335939357809</v>
      </c>
      <c r="K51" s="5">
        <f t="shared" ca="1" si="13"/>
        <v>122.1941394608979</v>
      </c>
      <c r="L51" s="2">
        <f t="shared" ca="1" si="20"/>
        <v>126.45733618314028</v>
      </c>
      <c r="M51" s="2">
        <f t="shared" ca="1" si="18"/>
        <v>5.6666832792996757</v>
      </c>
      <c r="N51" s="2">
        <f t="shared" ca="1" si="4"/>
        <v>1</v>
      </c>
      <c r="O51" s="2">
        <f ca="1">COUNTIFS($C$2:C50,"&lt;="&amp;C51,$L$2:L50,"&gt;"&amp;C51)</f>
        <v>6</v>
      </c>
      <c r="P51" s="5">
        <f t="shared" ca="1" si="14"/>
        <v>0</v>
      </c>
      <c r="Q51" s="5">
        <f t="shared" ca="1" si="15"/>
        <v>0</v>
      </c>
      <c r="R51" s="5">
        <f t="shared" ca="1" si="17"/>
        <v>0</v>
      </c>
      <c r="S51" s="2">
        <f t="shared" ca="1" si="5"/>
        <v>4.2631967222423786</v>
      </c>
      <c r="T51" s="4">
        <f t="shared" ca="1" si="6"/>
        <v>0</v>
      </c>
      <c r="U51">
        <f t="shared" ca="1" si="7"/>
        <v>0</v>
      </c>
      <c r="V51" s="2"/>
      <c r="W51" s="2"/>
      <c r="X51" s="2"/>
      <c r="Y51" s="2"/>
      <c r="Z51" s="2"/>
      <c r="AA51" s="2"/>
      <c r="AB51" s="1"/>
      <c r="AC51" s="1"/>
      <c r="AD51" s="1"/>
      <c r="AE51" s="1"/>
      <c r="AF51" s="1"/>
      <c r="AG51" s="1"/>
      <c r="AH51" s="1"/>
      <c r="AI51" s="1"/>
    </row>
    <row r="52" spans="1:35" ht="18" x14ac:dyDescent="0.35">
      <c r="A52" s="2">
        <v>51</v>
      </c>
      <c r="B52" s="2">
        <f t="shared" ca="1" si="8"/>
        <v>0.79980130000078342</v>
      </c>
      <c r="C52" s="5">
        <f t="shared" ca="1" si="9"/>
        <v>117.32725748159901</v>
      </c>
      <c r="D52" s="2">
        <f t="shared" ca="1" si="2"/>
        <v>0.2760793775702256</v>
      </c>
      <c r="E52" s="2" t="str">
        <f ca="1">LOOKUP(RAND(),{0,0.4,0.7,0.9},{"DEPOSIT","WITHDRAWAL","INQUIRY","LOAN"})</f>
        <v>LOAN</v>
      </c>
      <c r="F52" s="2" t="str">
        <f t="shared" ca="1" si="10"/>
        <v>t1</v>
      </c>
      <c r="G52" s="2">
        <f t="shared" ca="1" si="19"/>
        <v>15.444802256661438</v>
      </c>
      <c r="H52" s="2">
        <f t="shared" ca="1" si="11"/>
        <v>141.90213843980172</v>
      </c>
      <c r="I52" s="2">
        <f t="shared" ca="1" si="12"/>
        <v>127.34299193025934</v>
      </c>
      <c r="J52" s="2">
        <f t="shared" ca="1" si="16"/>
        <v>126.7335939357809</v>
      </c>
      <c r="K52" s="5">
        <f t="shared" ca="1" si="13"/>
        <v>126.45733618314028</v>
      </c>
      <c r="L52" s="2">
        <f t="shared" ca="1" si="20"/>
        <v>141.90213843980172</v>
      </c>
      <c r="M52" s="2">
        <f t="shared" ca="1" si="18"/>
        <v>9.1300787015412794</v>
      </c>
      <c r="N52" s="2">
        <f t="shared" ca="1" si="4"/>
        <v>1</v>
      </c>
      <c r="O52" s="2">
        <f ca="1">COUNTIFS($C$2:C51,"&lt;="&amp;C52,$L$2:L51,"&gt;"&amp;C52)</f>
        <v>6</v>
      </c>
      <c r="P52" s="5">
        <f t="shared" ca="1" si="14"/>
        <v>0</v>
      </c>
      <c r="Q52" s="5">
        <f t="shared" ca="1" si="15"/>
        <v>0</v>
      </c>
      <c r="R52" s="5">
        <f t="shared" ca="1" si="17"/>
        <v>0</v>
      </c>
      <c r="S52" s="2">
        <f t="shared" ca="1" si="5"/>
        <v>15.444802256661438</v>
      </c>
      <c r="T52" s="4">
        <f t="shared" ca="1" si="6"/>
        <v>0</v>
      </c>
      <c r="U52">
        <f t="shared" ca="1" si="7"/>
        <v>0</v>
      </c>
      <c r="V52" s="2"/>
      <c r="W52" s="2"/>
      <c r="X52" s="2"/>
      <c r="Y52" s="2"/>
      <c r="Z52" s="2"/>
      <c r="AA52" s="2"/>
      <c r="AB52" s="1"/>
      <c r="AC52" s="1"/>
      <c r="AD52" s="1"/>
      <c r="AE52" s="1"/>
      <c r="AF52" s="1"/>
      <c r="AG52" s="1"/>
      <c r="AH52" s="1"/>
      <c r="AI52" s="1"/>
    </row>
    <row r="53" spans="1:35" ht="18" x14ac:dyDescent="0.35">
      <c r="A53" s="2">
        <v>52</v>
      </c>
      <c r="B53" s="2">
        <f t="shared" ca="1" si="8"/>
        <v>2.0182326098407977</v>
      </c>
      <c r="C53" s="5">
        <f t="shared" ca="1" si="9"/>
        <v>119.3454900914398</v>
      </c>
      <c r="D53" s="2">
        <f t="shared" ca="1" si="2"/>
        <v>1.1974972760360081E-2</v>
      </c>
      <c r="E53" s="2" t="str">
        <f ca="1">LOOKUP(RAND(),{0,0.4,0.7,0.9},{"DEPOSIT","WITHDRAWAL","INQUIRY","LOAN"})</f>
        <v>INQUIRY</v>
      </c>
      <c r="F53" s="2" t="str">
        <f t="shared" ca="1" si="10"/>
        <v>t3</v>
      </c>
      <c r="G53" s="2">
        <f t="shared" ca="1" si="19"/>
        <v>17.699745641586862</v>
      </c>
      <c r="H53" s="2">
        <f t="shared" ca="1" si="11"/>
        <v>141.90213843980172</v>
      </c>
      <c r="I53" s="2">
        <f t="shared" ca="1" si="12"/>
        <v>127.34299193025934</v>
      </c>
      <c r="J53" s="2">
        <f t="shared" ca="1" si="16"/>
        <v>144.43333957736778</v>
      </c>
      <c r="K53" s="5">
        <f t="shared" ca="1" si="13"/>
        <v>126.7335939357809</v>
      </c>
      <c r="L53" s="2">
        <f t="shared" ca="1" si="20"/>
        <v>144.43333957736778</v>
      </c>
      <c r="M53" s="2">
        <f t="shared" ca="1" si="18"/>
        <v>7.3881038443411029</v>
      </c>
      <c r="N53" s="2">
        <f t="shared" ca="1" si="4"/>
        <v>1</v>
      </c>
      <c r="O53" s="2">
        <f ca="1">COUNTIFS($C$2:C52,"&lt;="&amp;C53,$L$2:L52,"&gt;"&amp;C53)</f>
        <v>7</v>
      </c>
      <c r="P53" s="5">
        <f t="shared" ca="1" si="14"/>
        <v>0</v>
      </c>
      <c r="Q53" s="5">
        <f t="shared" ca="1" si="15"/>
        <v>0</v>
      </c>
      <c r="R53" s="5">
        <f t="shared" ca="1" si="17"/>
        <v>0</v>
      </c>
      <c r="S53" s="2">
        <f t="shared" ca="1" si="5"/>
        <v>0</v>
      </c>
      <c r="T53" s="4">
        <f t="shared" ca="1" si="6"/>
        <v>0</v>
      </c>
      <c r="U53">
        <f t="shared" ca="1" si="7"/>
        <v>17.699745641586862</v>
      </c>
      <c r="V53" s="2"/>
      <c r="W53" s="2"/>
      <c r="X53" s="2"/>
      <c r="Y53" s="2"/>
      <c r="Z53" s="2"/>
      <c r="AA53" s="2"/>
      <c r="AB53" s="1"/>
      <c r="AC53" s="1"/>
      <c r="AD53" s="1"/>
      <c r="AE53" s="1"/>
      <c r="AF53" s="1"/>
      <c r="AG53" s="1"/>
      <c r="AH53" s="1"/>
      <c r="AI53" s="1"/>
    </row>
    <row r="54" spans="1:35" ht="18" x14ac:dyDescent="0.35">
      <c r="A54" s="2">
        <v>53</v>
      </c>
      <c r="B54" s="2">
        <f t="shared" ca="1" si="8"/>
        <v>1.3537247956947742</v>
      </c>
      <c r="C54" s="5">
        <f t="shared" ca="1" si="9"/>
        <v>120.69921488713457</v>
      </c>
      <c r="D54" s="2">
        <f t="shared" ca="1" si="2"/>
        <v>0.84436244935023164</v>
      </c>
      <c r="E54" s="2" t="str">
        <f ca="1">LOOKUP(RAND(),{0,0.4,0.7,0.9},{"DEPOSIT","WITHDRAWAL","INQUIRY","LOAN"})</f>
        <v>WITHDRAWAL</v>
      </c>
      <c r="F54" s="2" t="str">
        <f t="shared" ca="1" si="10"/>
        <v>t2</v>
      </c>
      <c r="G54" s="2">
        <f t="shared" ca="1" si="19"/>
        <v>1.015040605272385</v>
      </c>
      <c r="H54" s="2">
        <f t="shared" ca="1" si="11"/>
        <v>141.90213843980172</v>
      </c>
      <c r="I54" s="2">
        <f t="shared" ca="1" si="12"/>
        <v>128.35803253553172</v>
      </c>
      <c r="J54" s="2">
        <f t="shared" ca="1" si="16"/>
        <v>144.43333957736778</v>
      </c>
      <c r="K54" s="5">
        <f t="shared" ca="1" si="13"/>
        <v>127.34299193025934</v>
      </c>
      <c r="L54" s="2">
        <f t="shared" ca="1" si="20"/>
        <v>128.35803253553172</v>
      </c>
      <c r="M54" s="2">
        <f t="shared" ca="1" si="18"/>
        <v>6.6437770431247714</v>
      </c>
      <c r="N54" s="2">
        <f t="shared" ca="1" si="4"/>
        <v>1</v>
      </c>
      <c r="O54" s="2">
        <f ca="1">COUNTIFS($C$2:C53,"&lt;="&amp;C54,$L$2:L53,"&gt;"&amp;C54)</f>
        <v>7</v>
      </c>
      <c r="P54" s="5">
        <f t="shared" ca="1" si="14"/>
        <v>0</v>
      </c>
      <c r="Q54" s="5">
        <f t="shared" ca="1" si="15"/>
        <v>0</v>
      </c>
      <c r="R54" s="5">
        <f t="shared" ca="1" si="17"/>
        <v>0</v>
      </c>
      <c r="S54" s="2">
        <f t="shared" ca="1" si="5"/>
        <v>0</v>
      </c>
      <c r="T54" s="4">
        <f t="shared" ca="1" si="6"/>
        <v>1.015040605272385</v>
      </c>
      <c r="U54">
        <f t="shared" ca="1" si="7"/>
        <v>0</v>
      </c>
      <c r="V54" s="2"/>
      <c r="W54" s="2"/>
      <c r="X54" s="2"/>
      <c r="Y54" s="2"/>
      <c r="Z54" s="2"/>
      <c r="AA54" s="2"/>
      <c r="AB54" s="1"/>
      <c r="AC54" s="1"/>
      <c r="AD54" s="1"/>
      <c r="AE54" s="1"/>
      <c r="AF54" s="1"/>
      <c r="AG54" s="1"/>
      <c r="AH54" s="1"/>
      <c r="AI54" s="1"/>
    </row>
    <row r="55" spans="1:35" ht="18" x14ac:dyDescent="0.35">
      <c r="A55" s="2">
        <v>54</v>
      </c>
      <c r="B55" s="2">
        <f t="shared" ca="1" si="8"/>
        <v>7.5383752706107146</v>
      </c>
      <c r="C55" s="5">
        <f t="shared" ca="1" si="9"/>
        <v>128.23759015774527</v>
      </c>
      <c r="D55" s="2">
        <f t="shared" ca="1" si="2"/>
        <v>0.39547983199393433</v>
      </c>
      <c r="E55" s="2" t="str">
        <f ca="1">LOOKUP(RAND(),{0,0.4,0.7,0.9},{"DEPOSIT","WITHDRAWAL","INQUIRY","LOAN"})</f>
        <v>INQUIRY</v>
      </c>
      <c r="F55" s="2" t="str">
        <f t="shared" ca="1" si="10"/>
        <v>t2</v>
      </c>
      <c r="G55" s="2">
        <f t="shared" ca="1" si="19"/>
        <v>3.7106219470755013</v>
      </c>
      <c r="H55" s="2">
        <f t="shared" ca="1" si="11"/>
        <v>141.90213843980172</v>
      </c>
      <c r="I55" s="2">
        <f t="shared" ca="1" si="12"/>
        <v>132.06865448260723</v>
      </c>
      <c r="J55" s="2">
        <f t="shared" ca="1" si="16"/>
        <v>144.43333957736778</v>
      </c>
      <c r="K55" s="5">
        <f t="shared" ca="1" si="13"/>
        <v>128.35803253553172</v>
      </c>
      <c r="L55" s="2">
        <f t="shared" ca="1" si="20"/>
        <v>132.06865448260723</v>
      </c>
      <c r="M55" s="2">
        <f t="shared" ca="1" si="18"/>
        <v>0.12044237778644629</v>
      </c>
      <c r="N55" s="2">
        <f t="shared" ca="1" si="4"/>
        <v>1</v>
      </c>
      <c r="O55" s="2">
        <f ca="1">COUNTIFS($C$2:C54,"&lt;="&amp;C55,$L$2:L54,"&gt;"&amp;C55)</f>
        <v>3</v>
      </c>
      <c r="P55" s="5">
        <f t="shared" ca="1" si="14"/>
        <v>0</v>
      </c>
      <c r="Q55" s="5">
        <f t="shared" ca="1" si="15"/>
        <v>0</v>
      </c>
      <c r="R55" s="5">
        <f t="shared" ca="1" si="17"/>
        <v>0</v>
      </c>
      <c r="S55" s="2">
        <f t="shared" ca="1" si="5"/>
        <v>0</v>
      </c>
      <c r="T55" s="4">
        <f t="shared" ca="1" si="6"/>
        <v>3.7106219470755013</v>
      </c>
      <c r="U55">
        <f t="shared" ca="1" si="7"/>
        <v>0</v>
      </c>
      <c r="V55" s="2"/>
      <c r="W55" s="2"/>
      <c r="X55" s="2"/>
      <c r="Y55" s="2"/>
      <c r="Z55" s="2"/>
      <c r="AA55" s="2"/>
      <c r="AB55" s="1"/>
      <c r="AC55" s="1"/>
      <c r="AD55" s="1"/>
      <c r="AE55" s="1"/>
      <c r="AF55" s="1"/>
      <c r="AG55" s="1"/>
      <c r="AH55" s="1"/>
      <c r="AI55" s="1"/>
    </row>
    <row r="56" spans="1:35" ht="18" x14ac:dyDescent="0.35">
      <c r="A56" s="2">
        <v>55</v>
      </c>
      <c r="B56" s="2">
        <f t="shared" ca="1" si="8"/>
        <v>4.1815453621552008</v>
      </c>
      <c r="C56" s="5">
        <f t="shared" ca="1" si="9"/>
        <v>132.41913551990046</v>
      </c>
      <c r="D56" s="2">
        <f t="shared" ca="1" si="2"/>
        <v>0.13794515942896357</v>
      </c>
      <c r="E56" s="2" t="str">
        <f ca="1">LOOKUP(RAND(),{0,0.4,0.7,0.9},{"DEPOSIT","WITHDRAWAL","INQUIRY","LOAN"})</f>
        <v>INQUIRY</v>
      </c>
      <c r="F56" s="2" t="str">
        <f t="shared" ca="1" si="10"/>
        <v>t2</v>
      </c>
      <c r="G56" s="2">
        <f t="shared" ca="1" si="19"/>
        <v>7.9235962729988785</v>
      </c>
      <c r="H56" s="2">
        <f t="shared" ca="1" si="11"/>
        <v>141.90213843980172</v>
      </c>
      <c r="I56" s="2">
        <f t="shared" ca="1" si="12"/>
        <v>140.34273179289934</v>
      </c>
      <c r="J56" s="2">
        <f t="shared" ca="1" si="16"/>
        <v>144.43333957736778</v>
      </c>
      <c r="K56" s="5">
        <f t="shared" ca="1" si="13"/>
        <v>132.41913551990046</v>
      </c>
      <c r="L56" s="2">
        <f t="shared" ca="1" si="20"/>
        <v>140.34273179289934</v>
      </c>
      <c r="M56" s="2">
        <f t="shared" ca="1" si="18"/>
        <v>0</v>
      </c>
      <c r="N56" s="2">
        <f t="shared" ca="1" si="4"/>
        <v>0</v>
      </c>
      <c r="O56" s="2">
        <f ca="1">COUNTIFS($C$2:C55,"&lt;="&amp;C56,$L$2:L55,"&gt;"&amp;C56)</f>
        <v>2</v>
      </c>
      <c r="P56" s="5">
        <f t="shared" ca="1" si="14"/>
        <v>0</v>
      </c>
      <c r="Q56" s="5">
        <f t="shared" ca="1" si="15"/>
        <v>0</v>
      </c>
      <c r="R56" s="5">
        <f t="shared" ca="1" si="17"/>
        <v>0</v>
      </c>
      <c r="S56" s="2">
        <f t="shared" ca="1" si="5"/>
        <v>0</v>
      </c>
      <c r="T56" s="4">
        <f t="shared" ca="1" si="6"/>
        <v>7.9235962729988785</v>
      </c>
      <c r="U56">
        <f t="shared" ca="1" si="7"/>
        <v>0</v>
      </c>
      <c r="V56" s="2"/>
      <c r="W56" s="2"/>
      <c r="X56" s="2"/>
      <c r="Y56" s="2"/>
      <c r="Z56" s="2"/>
      <c r="AA56" s="2"/>
      <c r="AB56" s="1"/>
      <c r="AC56" s="1"/>
      <c r="AD56" s="1"/>
      <c r="AE56" s="1"/>
      <c r="AF56" s="1"/>
      <c r="AG56" s="1"/>
      <c r="AH56" s="1"/>
      <c r="AI56" s="1"/>
    </row>
    <row r="57" spans="1:35" ht="18" x14ac:dyDescent="0.35">
      <c r="A57" s="2">
        <v>56</v>
      </c>
      <c r="B57" s="2">
        <f t="shared" ca="1" si="8"/>
        <v>5.3475561387429797</v>
      </c>
      <c r="C57" s="5">
        <f t="shared" ca="1" si="9"/>
        <v>137.76669165864345</v>
      </c>
      <c r="D57" s="2">
        <f t="shared" ca="1" si="2"/>
        <v>0.1304434487624464</v>
      </c>
      <c r="E57" s="2" t="str">
        <f ca="1">LOOKUP(RAND(),{0,0.4,0.7,0.9},{"DEPOSIT","WITHDRAWAL","INQUIRY","LOAN"})</f>
        <v>DEPOSIT</v>
      </c>
      <c r="F57" s="2" t="str">
        <f t="shared" ca="1" si="10"/>
        <v>t2</v>
      </c>
      <c r="G57" s="2">
        <f t="shared" ca="1" si="19"/>
        <v>10.184077444780119</v>
      </c>
      <c r="H57" s="2">
        <f t="shared" ca="1" si="11"/>
        <v>141.90213843980172</v>
      </c>
      <c r="I57" s="2">
        <f t="shared" ca="1" si="12"/>
        <v>150.52680923767946</v>
      </c>
      <c r="J57" s="2">
        <f t="shared" ca="1" si="16"/>
        <v>144.43333957736778</v>
      </c>
      <c r="K57" s="5">
        <f t="shared" ca="1" si="13"/>
        <v>140.34273179289934</v>
      </c>
      <c r="L57" s="2">
        <f t="shared" ca="1" si="20"/>
        <v>150.52680923767946</v>
      </c>
      <c r="M57" s="2">
        <f t="shared" ca="1" si="18"/>
        <v>2.5760401342558907</v>
      </c>
      <c r="N57" s="2">
        <f t="shared" ca="1" si="4"/>
        <v>1</v>
      </c>
      <c r="O57" s="2">
        <f ca="1">COUNTIFS($C$2:C56,"&lt;="&amp;C57,$L$2:L56,"&gt;"&amp;C57)</f>
        <v>3</v>
      </c>
      <c r="P57" s="5">
        <f t="shared" ca="1" si="14"/>
        <v>0</v>
      </c>
      <c r="Q57" s="5">
        <f t="shared" ca="1" si="15"/>
        <v>0</v>
      </c>
      <c r="R57" s="5">
        <f t="shared" ca="1" si="17"/>
        <v>0</v>
      </c>
      <c r="S57" s="2">
        <f t="shared" ca="1" si="5"/>
        <v>0</v>
      </c>
      <c r="T57" s="4">
        <f t="shared" ca="1" si="6"/>
        <v>10.184077444780119</v>
      </c>
      <c r="U57">
        <f t="shared" ca="1" si="7"/>
        <v>0</v>
      </c>
      <c r="V57" s="2"/>
      <c r="W57" s="2"/>
      <c r="X57" s="2"/>
      <c r="Y57" s="2"/>
      <c r="Z57" s="2"/>
      <c r="AA57" s="2"/>
      <c r="AB57" s="1"/>
      <c r="AC57" s="1"/>
      <c r="AD57" s="1"/>
      <c r="AE57" s="1"/>
      <c r="AF57" s="1"/>
      <c r="AG57" s="1"/>
      <c r="AH57" s="1"/>
      <c r="AI57" s="1"/>
    </row>
    <row r="58" spans="1:35" ht="18" x14ac:dyDescent="0.35">
      <c r="A58" s="2">
        <v>57</v>
      </c>
      <c r="B58" s="2">
        <f t="shared" ca="1" si="8"/>
        <v>11.099250340815471</v>
      </c>
      <c r="C58" s="5">
        <f t="shared" ca="1" si="9"/>
        <v>148.86594199945893</v>
      </c>
      <c r="D58" s="2">
        <f t="shared" ca="1" si="2"/>
        <v>0.93954726786367559</v>
      </c>
      <c r="E58" s="2" t="str">
        <f ca="1">LOOKUP(RAND(),{0,0.4,0.7,0.9},{"DEPOSIT","WITHDRAWAL","INQUIRY","LOAN"})</f>
        <v>WITHDRAWAL</v>
      </c>
      <c r="F58" s="2" t="str">
        <f t="shared" ca="1" si="10"/>
        <v>t1</v>
      </c>
      <c r="G58" s="2">
        <f t="shared" ca="1" si="19"/>
        <v>1</v>
      </c>
      <c r="H58" s="2">
        <f t="shared" ca="1" si="11"/>
        <v>149.86594199945893</v>
      </c>
      <c r="I58" s="2">
        <f t="shared" ca="1" si="12"/>
        <v>150.52680923767946</v>
      </c>
      <c r="J58" s="2">
        <f t="shared" ca="1" si="16"/>
        <v>144.43333957736778</v>
      </c>
      <c r="K58" s="5">
        <f t="shared" ca="1" si="13"/>
        <v>148.86594199945893</v>
      </c>
      <c r="L58" s="2">
        <f t="shared" ca="1" si="20"/>
        <v>149.86594199945893</v>
      </c>
      <c r="M58" s="2">
        <f t="shared" ca="1" si="18"/>
        <v>0</v>
      </c>
      <c r="N58" s="2">
        <f t="shared" ca="1" si="4"/>
        <v>0</v>
      </c>
      <c r="O58" s="2">
        <f ca="1">COUNTIFS($C$2:C57,"&lt;="&amp;C58,$L$2:L57,"&gt;"&amp;C58)</f>
        <v>1</v>
      </c>
      <c r="P58" s="5">
        <f t="shared" ca="1" si="14"/>
        <v>0</v>
      </c>
      <c r="Q58" s="5">
        <f t="shared" ca="1" si="15"/>
        <v>0</v>
      </c>
      <c r="R58" s="5">
        <f t="shared" ca="1" si="17"/>
        <v>4.4326024220911506</v>
      </c>
      <c r="S58" s="2">
        <f t="shared" ca="1" si="5"/>
        <v>1</v>
      </c>
      <c r="T58" s="4">
        <f t="shared" ca="1" si="6"/>
        <v>0</v>
      </c>
      <c r="U58">
        <f t="shared" ca="1" si="7"/>
        <v>0</v>
      </c>
      <c r="V58" s="2"/>
      <c r="W58" s="2"/>
      <c r="X58" s="2"/>
      <c r="Y58" s="2"/>
      <c r="Z58" s="2"/>
      <c r="AA58" s="2"/>
      <c r="AB58" s="1"/>
      <c r="AC58" s="1"/>
      <c r="AD58" s="1"/>
      <c r="AE58" s="1"/>
      <c r="AF58" s="1"/>
      <c r="AG58" s="1"/>
      <c r="AH58" s="1"/>
      <c r="AI58" s="1"/>
    </row>
    <row r="59" spans="1:35" ht="18" x14ac:dyDescent="0.35">
      <c r="A59" s="2">
        <v>58</v>
      </c>
      <c r="B59" s="2">
        <f t="shared" ca="1" si="8"/>
        <v>3.5887758860878867</v>
      </c>
      <c r="C59" s="5">
        <f t="shared" ca="1" si="9"/>
        <v>152.45471788554681</v>
      </c>
      <c r="D59" s="2">
        <f t="shared" ca="1" si="2"/>
        <v>0.46719971502448854</v>
      </c>
      <c r="E59" s="2" t="str">
        <f ca="1">LOOKUP(RAND(),{0,0.4,0.7,0.9},{"DEPOSIT","WITHDRAWAL","INQUIRY","LOAN"})</f>
        <v>WITHDRAWAL</v>
      </c>
      <c r="F59" s="2" t="str">
        <f t="shared" ca="1" si="10"/>
        <v>t1</v>
      </c>
      <c r="G59" s="2">
        <f t="shared" ca="1" si="19"/>
        <v>4.5659907445980812</v>
      </c>
      <c r="H59" s="2">
        <f t="shared" ca="1" si="11"/>
        <v>157.0207086301449</v>
      </c>
      <c r="I59" s="2">
        <f t="shared" ca="1" si="12"/>
        <v>150.52680923767946</v>
      </c>
      <c r="J59" s="2">
        <f t="shared" ca="1" si="16"/>
        <v>144.43333957736778</v>
      </c>
      <c r="K59" s="5">
        <f t="shared" ca="1" si="13"/>
        <v>152.45471788554681</v>
      </c>
      <c r="L59" s="2">
        <f t="shared" ca="1" si="20"/>
        <v>157.0207086301449</v>
      </c>
      <c r="M59" s="2">
        <f t="shared" ca="1" si="18"/>
        <v>0</v>
      </c>
      <c r="N59" s="2">
        <f t="shared" ca="1" si="4"/>
        <v>0</v>
      </c>
      <c r="O59" s="2">
        <f ca="1">COUNTIFS($C$2:C58,"&lt;="&amp;C59,$L$2:L58,"&gt;"&amp;C59)</f>
        <v>0</v>
      </c>
      <c r="P59" s="5">
        <f t="shared" ca="1" si="14"/>
        <v>0</v>
      </c>
      <c r="Q59" s="5">
        <f t="shared" ca="1" si="15"/>
        <v>1.9279086478673548</v>
      </c>
      <c r="R59" s="5">
        <f t="shared" ca="1" si="17"/>
        <v>8.0213783081790382</v>
      </c>
      <c r="S59" s="2">
        <f t="shared" ca="1" si="5"/>
        <v>4.5659907445980812</v>
      </c>
      <c r="T59" s="4">
        <f t="shared" ca="1" si="6"/>
        <v>0</v>
      </c>
      <c r="U59">
        <f t="shared" ca="1" si="7"/>
        <v>0</v>
      </c>
      <c r="V59" s="2"/>
      <c r="W59" s="2"/>
      <c r="X59" s="2"/>
      <c r="Y59" s="2"/>
      <c r="Z59" s="2"/>
      <c r="AA59" s="2"/>
      <c r="AB59" s="1"/>
      <c r="AC59" s="1"/>
      <c r="AD59" s="1"/>
      <c r="AE59" s="1"/>
      <c r="AF59" s="1"/>
      <c r="AG59" s="1"/>
      <c r="AH59" s="1"/>
      <c r="AI59" s="1"/>
    </row>
    <row r="60" spans="1:35" ht="18" x14ac:dyDescent="0.35">
      <c r="A60" s="2">
        <v>59</v>
      </c>
      <c r="B60" s="2">
        <f t="shared" ca="1" si="8"/>
        <v>1.1999299453854864</v>
      </c>
      <c r="C60" s="5">
        <f t="shared" ca="1" si="9"/>
        <v>153.6546478309323</v>
      </c>
      <c r="D60" s="2">
        <f t="shared" ca="1" si="2"/>
        <v>0.74339105908812109</v>
      </c>
      <c r="E60" s="2" t="str">
        <f ca="1">LOOKUP(RAND(),{0,0.4,0.7,0.9},{"DEPOSIT","WITHDRAWAL","INQUIRY","LOAN"})</f>
        <v>INQUIRY</v>
      </c>
      <c r="F60" s="2" t="str">
        <f t="shared" ca="1" si="10"/>
        <v>t3</v>
      </c>
      <c r="G60" s="2">
        <f t="shared" ca="1" si="19"/>
        <v>1.1861321929808955</v>
      </c>
      <c r="H60" s="2">
        <f t="shared" ca="1" si="11"/>
        <v>157.0207086301449</v>
      </c>
      <c r="I60" s="2">
        <f t="shared" ca="1" si="12"/>
        <v>150.52680923767946</v>
      </c>
      <c r="J60" s="2">
        <f t="shared" ca="1" si="16"/>
        <v>154.8407800239132</v>
      </c>
      <c r="K60" s="5">
        <f t="shared" ca="1" si="13"/>
        <v>153.6546478309323</v>
      </c>
      <c r="L60" s="2">
        <f t="shared" ca="1" si="20"/>
        <v>154.8407800239132</v>
      </c>
      <c r="M60" s="2">
        <f t="shared" ca="1" si="18"/>
        <v>0</v>
      </c>
      <c r="N60" s="2">
        <f t="shared" ca="1" si="4"/>
        <v>0</v>
      </c>
      <c r="O60" s="2">
        <f ca="1">COUNTIFS($C$2:C59,"&lt;="&amp;C60,$L$2:L59,"&gt;"&amp;C60)</f>
        <v>1</v>
      </c>
      <c r="P60" s="5">
        <f t="shared" ca="1" si="14"/>
        <v>0</v>
      </c>
      <c r="Q60" s="5">
        <f t="shared" ca="1" si="15"/>
        <v>3.1278385932528465</v>
      </c>
      <c r="R60" s="5">
        <f t="shared" ca="1" si="17"/>
        <v>0</v>
      </c>
      <c r="S60" s="2">
        <f t="shared" ca="1" si="5"/>
        <v>0</v>
      </c>
      <c r="T60" s="4">
        <f t="shared" ca="1" si="6"/>
        <v>0</v>
      </c>
      <c r="U60">
        <f t="shared" ca="1" si="7"/>
        <v>1.1861321929808955</v>
      </c>
      <c r="V60" s="2"/>
      <c r="W60" s="2"/>
      <c r="X60" s="2"/>
      <c r="Y60" s="2"/>
      <c r="Z60" s="2"/>
      <c r="AA60" s="2"/>
      <c r="AB60" s="1"/>
      <c r="AC60" s="1"/>
      <c r="AD60" s="1"/>
      <c r="AE60" s="1"/>
      <c r="AF60" s="1"/>
      <c r="AG60" s="1"/>
      <c r="AH60" s="1"/>
      <c r="AI60" s="1"/>
    </row>
    <row r="61" spans="1:35" ht="18" x14ac:dyDescent="0.35">
      <c r="A61" s="2">
        <v>60</v>
      </c>
      <c r="B61" s="2">
        <f t="shared" ca="1" si="8"/>
        <v>0.63497935329715149</v>
      </c>
      <c r="C61" s="5">
        <f t="shared" ca="1" si="9"/>
        <v>154.28962718422946</v>
      </c>
      <c r="D61" s="2">
        <f t="shared" ca="1" si="2"/>
        <v>6.9420834906221973E-3</v>
      </c>
      <c r="E61" s="2" t="str">
        <f ca="1">LOOKUP(RAND(),{0,0.4,0.7,0.9},{"DEPOSIT","WITHDRAWAL","INQUIRY","LOAN"})</f>
        <v>DEPOSIT</v>
      </c>
      <c r="F61" s="2" t="str">
        <f t="shared" ca="1" si="10"/>
        <v>t2</v>
      </c>
      <c r="G61" s="2">
        <f t="shared" ca="1" si="19"/>
        <v>24.850766673659027</v>
      </c>
      <c r="H61" s="2">
        <f t="shared" ca="1" si="11"/>
        <v>157.0207086301449</v>
      </c>
      <c r="I61" s="2">
        <f t="shared" ca="1" si="12"/>
        <v>179.14039385788848</v>
      </c>
      <c r="J61" s="2">
        <f t="shared" ca="1" si="16"/>
        <v>154.8407800239132</v>
      </c>
      <c r="K61" s="5">
        <f t="shared" ca="1" si="13"/>
        <v>154.28962718422946</v>
      </c>
      <c r="L61" s="2">
        <f t="shared" ca="1" si="20"/>
        <v>179.14039385788848</v>
      </c>
      <c r="M61" s="2">
        <f t="shared" ca="1" si="18"/>
        <v>0</v>
      </c>
      <c r="N61" s="2">
        <f t="shared" ca="1" si="4"/>
        <v>0</v>
      </c>
      <c r="O61" s="2">
        <f ca="1">COUNTIFS($C$2:C60,"&lt;="&amp;C61,$L$2:L60,"&gt;"&amp;C61)</f>
        <v>2</v>
      </c>
      <c r="P61" s="5">
        <f t="shared" ca="1" si="14"/>
        <v>0</v>
      </c>
      <c r="Q61" s="5">
        <f t="shared" ca="1" si="15"/>
        <v>0</v>
      </c>
      <c r="R61" s="5">
        <f t="shared" ca="1" si="17"/>
        <v>0</v>
      </c>
      <c r="S61" s="2">
        <f t="shared" ca="1" si="5"/>
        <v>0</v>
      </c>
      <c r="T61" s="4">
        <f t="shared" ca="1" si="6"/>
        <v>24.850766673659027</v>
      </c>
      <c r="U61">
        <f t="shared" ca="1" si="7"/>
        <v>0</v>
      </c>
      <c r="V61" s="2"/>
      <c r="W61" s="2"/>
      <c r="X61" s="2"/>
      <c r="Y61" s="2"/>
      <c r="Z61" s="2"/>
      <c r="AA61" s="2"/>
      <c r="AB61" s="1"/>
      <c r="AC61" s="1"/>
      <c r="AD61" s="1"/>
      <c r="AE61" s="1"/>
      <c r="AF61" s="1"/>
      <c r="AG61" s="1"/>
      <c r="AH61" s="1"/>
      <c r="AI61" s="1"/>
    </row>
    <row r="62" spans="1:35" ht="18" x14ac:dyDescent="0.35">
      <c r="A62" s="2">
        <v>61</v>
      </c>
      <c r="B62" s="2">
        <f t="shared" ca="1" si="8"/>
        <v>5.6436622279063906</v>
      </c>
      <c r="C62" s="5">
        <f t="shared" ca="1" si="9"/>
        <v>159.93328941213585</v>
      </c>
      <c r="D62" s="2">
        <f t="shared" ca="1" si="2"/>
        <v>7.5955145431724103E-2</v>
      </c>
      <c r="E62" s="2" t="str">
        <f ca="1">LOOKUP(RAND(),{0,0.4,0.7,0.9},{"DEPOSIT","WITHDRAWAL","INQUIRY","LOAN"})</f>
        <v>INQUIRY</v>
      </c>
      <c r="F62" s="2" t="str">
        <f t="shared" ca="1" si="10"/>
        <v>t3</v>
      </c>
      <c r="G62" s="2">
        <f t="shared" ca="1" si="19"/>
        <v>10.310449218461271</v>
      </c>
      <c r="H62" s="2">
        <f t="shared" ca="1" si="11"/>
        <v>157.0207086301449</v>
      </c>
      <c r="I62" s="2">
        <f t="shared" ca="1" si="12"/>
        <v>179.14039385788848</v>
      </c>
      <c r="J62" s="2">
        <f t="shared" ca="1" si="16"/>
        <v>170.24373863059711</v>
      </c>
      <c r="K62" s="5">
        <f t="shared" ca="1" si="13"/>
        <v>159.93328941213585</v>
      </c>
      <c r="L62" s="2">
        <f t="shared" ca="1" si="20"/>
        <v>170.24373863059711</v>
      </c>
      <c r="M62" s="2">
        <f t="shared" ca="1" si="18"/>
        <v>0</v>
      </c>
      <c r="N62" s="2">
        <f t="shared" ca="1" si="4"/>
        <v>0</v>
      </c>
      <c r="O62" s="2">
        <f ca="1">COUNTIFS($C$2:C61,"&lt;="&amp;C62,$L$2:L61,"&gt;"&amp;C62)</f>
        <v>1</v>
      </c>
      <c r="P62" s="5">
        <f t="shared" ca="1" si="14"/>
        <v>2.9125807819909539</v>
      </c>
      <c r="Q62" s="5">
        <f t="shared" ca="1" si="15"/>
        <v>0</v>
      </c>
      <c r="R62" s="5">
        <f t="shared" ca="1" si="17"/>
        <v>0</v>
      </c>
      <c r="S62" s="2">
        <f t="shared" ca="1" si="5"/>
        <v>0</v>
      </c>
      <c r="T62" s="4">
        <f t="shared" ca="1" si="6"/>
        <v>0</v>
      </c>
      <c r="U62">
        <f t="shared" ca="1" si="7"/>
        <v>10.310449218461271</v>
      </c>
      <c r="V62" s="2"/>
      <c r="W62" s="2"/>
      <c r="X62" s="2"/>
      <c r="Y62" s="2"/>
      <c r="Z62" s="2"/>
      <c r="AA62" s="2"/>
      <c r="AB62" s="1"/>
      <c r="AC62" s="1"/>
      <c r="AD62" s="1"/>
      <c r="AE62" s="1"/>
      <c r="AF62" s="1"/>
      <c r="AG62" s="1"/>
      <c r="AH62" s="1"/>
      <c r="AI62" s="1"/>
    </row>
    <row r="63" spans="1:35" ht="18" x14ac:dyDescent="0.35">
      <c r="A63" s="2">
        <v>62</v>
      </c>
      <c r="B63" s="2">
        <f t="shared" ca="1" si="8"/>
        <v>0.32730611423409972</v>
      </c>
      <c r="C63" s="5">
        <f t="shared" ca="1" si="9"/>
        <v>160.26059552636994</v>
      </c>
      <c r="D63" s="2">
        <f t="shared" ca="1" si="2"/>
        <v>0.70481476694167788</v>
      </c>
      <c r="E63" s="2" t="str">
        <f ca="1">LOOKUP(RAND(),{0,0.4,0.7,0.9},{"DEPOSIT","WITHDRAWAL","INQUIRY","LOAN"})</f>
        <v>INQUIRY</v>
      </c>
      <c r="F63" s="2" t="str">
        <f t="shared" ca="1" si="10"/>
        <v>t1</v>
      </c>
      <c r="G63" s="2">
        <f t="shared" ca="1" si="19"/>
        <v>1.3992810104770945</v>
      </c>
      <c r="H63" s="2">
        <f t="shared" ca="1" si="11"/>
        <v>161.65987653684704</v>
      </c>
      <c r="I63" s="2">
        <f t="shared" ca="1" si="12"/>
        <v>179.14039385788848</v>
      </c>
      <c r="J63" s="2">
        <f t="shared" ca="1" si="16"/>
        <v>170.24373863059711</v>
      </c>
      <c r="K63" s="5">
        <f t="shared" ca="1" si="13"/>
        <v>160.26059552636994</v>
      </c>
      <c r="L63" s="2">
        <f t="shared" ca="1" si="20"/>
        <v>161.65987653684704</v>
      </c>
      <c r="M63" s="2">
        <f t="shared" ca="1" si="18"/>
        <v>0</v>
      </c>
      <c r="N63" s="2">
        <f t="shared" ca="1" si="4"/>
        <v>0</v>
      </c>
      <c r="O63" s="2">
        <f ca="1">COUNTIFS($C$2:C62,"&lt;="&amp;C63,$L$2:L62,"&gt;"&amp;C63)</f>
        <v>2</v>
      </c>
      <c r="P63" s="5">
        <f t="shared" ca="1" si="14"/>
        <v>0</v>
      </c>
      <c r="Q63" s="5">
        <f t="shared" ca="1" si="15"/>
        <v>0</v>
      </c>
      <c r="R63" s="5">
        <f t="shared" ca="1" si="17"/>
        <v>0</v>
      </c>
      <c r="S63" s="2">
        <f t="shared" ca="1" si="5"/>
        <v>1.3992810104770945</v>
      </c>
      <c r="T63" s="4">
        <f t="shared" ca="1" si="6"/>
        <v>0</v>
      </c>
      <c r="U63">
        <f t="shared" ca="1" si="7"/>
        <v>0</v>
      </c>
      <c r="V63" s="2"/>
      <c r="W63" s="2"/>
      <c r="X63" s="2"/>
      <c r="Y63" s="2"/>
      <c r="Z63" s="2"/>
      <c r="AA63" s="2"/>
      <c r="AB63" s="1"/>
      <c r="AC63" s="1"/>
      <c r="AD63" s="1"/>
      <c r="AE63" s="1"/>
      <c r="AF63" s="1"/>
      <c r="AG63" s="1"/>
      <c r="AH63" s="1"/>
      <c r="AI63" s="1"/>
    </row>
    <row r="64" spans="1:35" ht="18" x14ac:dyDescent="0.35">
      <c r="A64" s="2">
        <v>63</v>
      </c>
      <c r="B64" s="2">
        <f t="shared" ca="1" si="8"/>
        <v>0.3777576565394048</v>
      </c>
      <c r="C64" s="5">
        <f t="shared" ca="1" si="9"/>
        <v>160.63835318290936</v>
      </c>
      <c r="D64" s="2">
        <f t="shared" ca="1" si="2"/>
        <v>0.85979321710467616</v>
      </c>
      <c r="E64" s="2" t="str">
        <f ca="1">LOOKUP(RAND(),{0,0.4,0.7,0.9},{"DEPOSIT","WITHDRAWAL","INQUIRY","LOAN"})</f>
        <v>WITHDRAWAL</v>
      </c>
      <c r="F64" s="2" t="str">
        <f t="shared" ca="1" si="10"/>
        <v>t1</v>
      </c>
      <c r="G64" s="2">
        <f t="shared" ca="1" si="19"/>
        <v>1</v>
      </c>
      <c r="H64" s="2">
        <f t="shared" ca="1" si="11"/>
        <v>162.65987653684704</v>
      </c>
      <c r="I64" s="2">
        <f t="shared" ca="1" si="12"/>
        <v>179.14039385788848</v>
      </c>
      <c r="J64" s="2">
        <f t="shared" ca="1" si="16"/>
        <v>170.24373863059711</v>
      </c>
      <c r="K64" s="5">
        <f t="shared" ca="1" si="13"/>
        <v>161.65987653684704</v>
      </c>
      <c r="L64" s="2">
        <f t="shared" ca="1" si="20"/>
        <v>162.65987653684704</v>
      </c>
      <c r="M64" s="2">
        <f t="shared" ca="1" si="18"/>
        <v>1.0215233539376811</v>
      </c>
      <c r="N64" s="2">
        <f t="shared" ca="1" si="4"/>
        <v>1</v>
      </c>
      <c r="O64" s="2">
        <f ca="1">COUNTIFS($C$2:C63,"&lt;="&amp;C64,$L$2:L63,"&gt;"&amp;C64)</f>
        <v>3</v>
      </c>
      <c r="P64" s="5">
        <f t="shared" ca="1" si="14"/>
        <v>0</v>
      </c>
      <c r="Q64" s="5">
        <f t="shared" ca="1" si="15"/>
        <v>0</v>
      </c>
      <c r="R64" s="5">
        <f t="shared" ca="1" si="17"/>
        <v>0</v>
      </c>
      <c r="S64" s="2">
        <f t="shared" ca="1" si="5"/>
        <v>1</v>
      </c>
      <c r="T64" s="4">
        <f t="shared" ca="1" si="6"/>
        <v>0</v>
      </c>
      <c r="U64">
        <f t="shared" ca="1" si="7"/>
        <v>0</v>
      </c>
      <c r="V64" s="2"/>
      <c r="W64" s="2"/>
      <c r="X64" s="2"/>
      <c r="Y64" s="2"/>
      <c r="Z64" s="2"/>
      <c r="AA64" s="2"/>
      <c r="AB64" s="1"/>
      <c r="AC64" s="1"/>
      <c r="AD64" s="1"/>
      <c r="AE64" s="1"/>
      <c r="AF64" s="1"/>
      <c r="AG64" s="1"/>
      <c r="AH64" s="1"/>
      <c r="AI64" s="1"/>
    </row>
    <row r="65" spans="1:35" ht="18" x14ac:dyDescent="0.35">
      <c r="A65" s="2">
        <v>64</v>
      </c>
      <c r="B65" s="2">
        <f t="shared" ca="1" si="8"/>
        <v>5.0380670314021767</v>
      </c>
      <c r="C65" s="5">
        <f t="shared" ca="1" si="9"/>
        <v>165.67642021431152</v>
      </c>
      <c r="D65" s="2">
        <f t="shared" ca="1" si="2"/>
        <v>0.41138335680812899</v>
      </c>
      <c r="E65" s="2" t="str">
        <f ca="1">LOOKUP(RAND(),{0,0.4,0.7,0.9},{"DEPOSIT","WITHDRAWAL","INQUIRY","LOAN"})</f>
        <v>LOAN</v>
      </c>
      <c r="F65" s="2" t="str">
        <f t="shared" ca="1" si="10"/>
        <v>t1</v>
      </c>
      <c r="G65" s="2">
        <f t="shared" ca="1" si="19"/>
        <v>10.658757091121357</v>
      </c>
      <c r="H65" s="2">
        <f t="shared" ca="1" si="11"/>
        <v>176.33517730543286</v>
      </c>
      <c r="I65" s="2">
        <f t="shared" ca="1" si="12"/>
        <v>179.14039385788848</v>
      </c>
      <c r="J65" s="2">
        <f t="shared" ca="1" si="16"/>
        <v>170.24373863059711</v>
      </c>
      <c r="K65" s="5">
        <f t="shared" ca="1" si="13"/>
        <v>165.67642021431152</v>
      </c>
      <c r="L65" s="2">
        <f t="shared" ca="1" si="20"/>
        <v>176.33517730543286</v>
      </c>
      <c r="M65" s="2">
        <f t="shared" ca="1" si="18"/>
        <v>0</v>
      </c>
      <c r="N65" s="2">
        <f t="shared" ca="1" si="4"/>
        <v>0</v>
      </c>
      <c r="O65" s="2">
        <f ca="1">COUNTIFS($C$2:C64,"&lt;="&amp;C65,$L$2:L64,"&gt;"&amp;C65)</f>
        <v>2</v>
      </c>
      <c r="P65" s="5">
        <f t="shared" ca="1" si="14"/>
        <v>0</v>
      </c>
      <c r="Q65" s="5">
        <f t="shared" ca="1" si="15"/>
        <v>0</v>
      </c>
      <c r="R65" s="5">
        <f t="shared" ca="1" si="17"/>
        <v>0</v>
      </c>
      <c r="S65" s="2">
        <f t="shared" ca="1" si="5"/>
        <v>10.658757091121357</v>
      </c>
      <c r="T65" s="4">
        <f t="shared" ca="1" si="6"/>
        <v>0</v>
      </c>
      <c r="U65">
        <f t="shared" ca="1" si="7"/>
        <v>0</v>
      </c>
      <c r="V65" s="2"/>
      <c r="W65" s="2"/>
      <c r="X65" s="2"/>
      <c r="Y65" s="2"/>
      <c r="Z65" s="2"/>
      <c r="AA65" s="2"/>
      <c r="AB65" s="1"/>
      <c r="AC65" s="1"/>
      <c r="AD65" s="1"/>
      <c r="AE65" s="1"/>
      <c r="AF65" s="1"/>
      <c r="AG65" s="1"/>
      <c r="AH65" s="1"/>
      <c r="AI65" s="1"/>
    </row>
    <row r="66" spans="1:35" ht="18" x14ac:dyDescent="0.35">
      <c r="A66" s="2">
        <v>65</v>
      </c>
      <c r="B66" s="2">
        <f t="shared" ca="1" si="8"/>
        <v>4.2765770823887399</v>
      </c>
      <c r="C66" s="5">
        <f t="shared" ca="1" si="9"/>
        <v>169.95299729670026</v>
      </c>
      <c r="D66" s="2">
        <f t="shared" ca="1" si="2"/>
        <v>0.18210097011309445</v>
      </c>
      <c r="E66" s="2" t="str">
        <f ca="1">LOOKUP(RAND(),{0,0.4,0.7,0.9},{"DEPOSIT","WITHDRAWAL","INQUIRY","LOAN"})</f>
        <v>WITHDRAWAL</v>
      </c>
      <c r="F66" s="2" t="str">
        <f t="shared" ca="1" si="10"/>
        <v>t3</v>
      </c>
      <c r="G66" s="2">
        <f t="shared" ref="G66:G97" ca="1" si="21">IF(E66="DEPOSIT",MAX(1,-5*LN(D66)),IF(E66="WITHDRAWAL",MAX(1,-6*LN(D66)),IF(E66="INQUIRY",MAX(1,-4*LN(D66)),MAX(1,-12*LN(D66)))))</f>
        <v>10.219163789388965</v>
      </c>
      <c r="H66" s="2">
        <f t="shared" ca="1" si="11"/>
        <v>176.33517730543286</v>
      </c>
      <c r="I66" s="2">
        <f t="shared" ca="1" si="12"/>
        <v>179.14039385788848</v>
      </c>
      <c r="J66" s="2">
        <f t="shared" ca="1" si="16"/>
        <v>180.46290241998608</v>
      </c>
      <c r="K66" s="5">
        <f t="shared" ca="1" si="13"/>
        <v>170.24373863059711</v>
      </c>
      <c r="L66" s="2">
        <f t="shared" ref="L66:L97" ca="1" si="22">K66+G66</f>
        <v>180.46290241998608</v>
      </c>
      <c r="M66" s="2">
        <f t="shared" ca="1" si="18"/>
        <v>0.29074133389684675</v>
      </c>
      <c r="N66" s="2">
        <f t="shared" ca="1" si="4"/>
        <v>1</v>
      </c>
      <c r="O66" s="2">
        <f ca="1">COUNTIFS($C$2:C65,"&lt;="&amp;C66,$L$2:L65,"&gt;"&amp;C66)</f>
        <v>3</v>
      </c>
      <c r="P66" s="5">
        <f t="shared" ca="1" si="14"/>
        <v>0</v>
      </c>
      <c r="Q66" s="5">
        <f t="shared" ca="1" si="15"/>
        <v>0</v>
      </c>
      <c r="R66" s="5">
        <f t="shared" ca="1" si="17"/>
        <v>0</v>
      </c>
      <c r="S66" s="2">
        <f t="shared" ca="1" si="5"/>
        <v>0</v>
      </c>
      <c r="T66" s="4">
        <f t="shared" ca="1" si="6"/>
        <v>0</v>
      </c>
      <c r="U66">
        <f t="shared" ca="1" si="7"/>
        <v>10.219163789388965</v>
      </c>
      <c r="V66" s="2"/>
      <c r="W66" s="2"/>
      <c r="X66" s="2"/>
      <c r="Y66" s="2"/>
      <c r="Z66" s="2"/>
      <c r="AA66" s="2"/>
      <c r="AB66" s="1"/>
      <c r="AC66" s="1"/>
      <c r="AD66" s="1"/>
      <c r="AE66" s="1"/>
      <c r="AF66" s="1"/>
      <c r="AG66" s="1"/>
      <c r="AH66" s="1"/>
      <c r="AI66" s="1"/>
    </row>
    <row r="67" spans="1:35" ht="18" x14ac:dyDescent="0.35">
      <c r="A67" s="2">
        <v>66</v>
      </c>
      <c r="B67" s="2">
        <f t="shared" ca="1" si="8"/>
        <v>1.743974749278923</v>
      </c>
      <c r="C67" s="5">
        <f t="shared" ca="1" si="9"/>
        <v>171.69697204597918</v>
      </c>
      <c r="D67" s="2">
        <f t="shared" ref="D67:D130" ca="1" si="23">RAND()</f>
        <v>0.18628942315348784</v>
      </c>
      <c r="E67" s="2" t="str">
        <f ca="1">LOOKUP(RAND(),{0,0.4,0.7,0.9},{"DEPOSIT","WITHDRAWAL","INQUIRY","LOAN"})</f>
        <v>DEPOSIT</v>
      </c>
      <c r="F67" s="2" t="str">
        <f t="shared" ca="1" si="10"/>
        <v>t1</v>
      </c>
      <c r="G67" s="2">
        <f t="shared" ca="1" si="21"/>
        <v>8.4022688809138799</v>
      </c>
      <c r="H67" s="2">
        <f t="shared" ca="1" si="11"/>
        <v>184.73744618634674</v>
      </c>
      <c r="I67" s="2">
        <f t="shared" ca="1" si="12"/>
        <v>179.14039385788848</v>
      </c>
      <c r="J67" s="2">
        <f t="shared" ca="1" si="16"/>
        <v>180.46290241998608</v>
      </c>
      <c r="K67" s="5">
        <f t="shared" ca="1" si="13"/>
        <v>176.33517730543286</v>
      </c>
      <c r="L67" s="2">
        <f t="shared" ca="1" si="22"/>
        <v>184.73744618634674</v>
      </c>
      <c r="M67" s="2">
        <f t="shared" ca="1" si="18"/>
        <v>4.6382052594536844</v>
      </c>
      <c r="N67" s="2">
        <f t="shared" ref="N67:N130" ca="1" si="24">IF(M67=0,0,1)</f>
        <v>1</v>
      </c>
      <c r="O67" s="2">
        <f ca="1">COUNTIFS($C$2:C66,"&lt;="&amp;C67,$L$2:L66,"&gt;"&amp;C67)</f>
        <v>3</v>
      </c>
      <c r="P67" s="5">
        <f t="shared" ca="1" si="14"/>
        <v>0</v>
      </c>
      <c r="Q67" s="5">
        <f t="shared" ca="1" si="15"/>
        <v>0</v>
      </c>
      <c r="R67" s="5">
        <f t="shared" ca="1" si="17"/>
        <v>0</v>
      </c>
      <c r="S67" s="2">
        <f t="shared" ref="S67:S130" ca="1" si="25">IF(F67="t1",G67,0)</f>
        <v>8.4022688809138799</v>
      </c>
      <c r="T67" s="4">
        <f t="shared" ref="T67:T130" ca="1" si="26">IF(F67="t2",G67,0)</f>
        <v>0</v>
      </c>
      <c r="U67">
        <f t="shared" ref="U67:U130" ca="1" si="27">IF(F67="t3",G67,0)</f>
        <v>0</v>
      </c>
      <c r="V67" s="2"/>
      <c r="W67" s="2"/>
      <c r="X67" s="2"/>
      <c r="Y67" s="2"/>
      <c r="Z67" s="2"/>
      <c r="AA67" s="2"/>
      <c r="AB67" s="1"/>
      <c r="AC67" s="1"/>
      <c r="AD67" s="1"/>
      <c r="AE67" s="1"/>
      <c r="AF67" s="1"/>
      <c r="AG67" s="1"/>
      <c r="AH67" s="1"/>
      <c r="AI67" s="1"/>
    </row>
    <row r="68" spans="1:35" ht="18" x14ac:dyDescent="0.35">
      <c r="A68" s="2">
        <v>67</v>
      </c>
      <c r="B68" s="2">
        <f t="shared" ref="B68:B131" ca="1" si="28">-LN(1-RAND())/(20/60)</f>
        <v>3.666368931527753</v>
      </c>
      <c r="C68" s="5">
        <f t="shared" ref="C68:C131" ca="1" si="29">C67+B68</f>
        <v>175.36334097750694</v>
      </c>
      <c r="D68" s="2">
        <f t="shared" ca="1" si="23"/>
        <v>5.180213473825146E-2</v>
      </c>
      <c r="E68" s="2" t="str">
        <f ca="1">LOOKUP(RAND(),{0,0.4,0.7,0.9},{"DEPOSIT","WITHDRAWAL","INQUIRY","LOAN"})</f>
        <v>INQUIRY</v>
      </c>
      <c r="F68" s="2" t="str">
        <f t="shared" ref="F68:F131" ca="1" si="30">IF(C68&gt;MAX(H67,I67,J67),"t1",IF(MIN(H67,I67,J67)=H67,"t1",(IF(MIN(H67,I67,J67)=I67,"t2","t3"))))</f>
        <v>t2</v>
      </c>
      <c r="G68" s="2">
        <f t="shared" ca="1" si="21"/>
        <v>11.841295677610804</v>
      </c>
      <c r="H68" s="2">
        <f t="shared" ref="H68:H131" ca="1" si="31">IF(F68="t1",L68,H67)</f>
        <v>184.73744618634674</v>
      </c>
      <c r="I68" s="2">
        <f t="shared" ref="I68:I131" ca="1" si="32">IF(F68="t2",L68,I67)</f>
        <v>190.9816895354993</v>
      </c>
      <c r="J68" s="2">
        <f t="shared" ca="1" si="16"/>
        <v>180.46290241998608</v>
      </c>
      <c r="K68" s="5">
        <f t="shared" ref="K68:K131" ca="1" si="33">IF(M68=0,C68,MIN(H67,I67,J67))</f>
        <v>179.14039385788848</v>
      </c>
      <c r="L68" s="2">
        <f t="shared" ca="1" si="22"/>
        <v>190.9816895354993</v>
      </c>
      <c r="M68" s="2">
        <f t="shared" ref="M68:M131" ca="1" si="34">IF(C68&lt;MIN(H67,I67,J67),MIN(H67,I67,J67)-C68,0)</f>
        <v>3.7770528803815466</v>
      </c>
      <c r="N68" s="2">
        <f t="shared" ca="1" si="24"/>
        <v>1</v>
      </c>
      <c r="O68" s="2">
        <f ca="1">COUNTIFS($C$2:C67,"&lt;="&amp;C68,$L$2:L67,"&gt;"&amp;C68)</f>
        <v>4</v>
      </c>
      <c r="P68" s="5">
        <f t="shared" ref="P68:P131" ca="1" si="35">MAX(0,C68-H68)</f>
        <v>0</v>
      </c>
      <c r="Q68" s="5">
        <f t="shared" ref="Q68:Q131" ca="1" si="36">MAX(0,C68-I68)</f>
        <v>0</v>
      </c>
      <c r="R68" s="5">
        <f t="shared" ref="R68:R131" ca="1" si="37">MAX(0,C68-J68)</f>
        <v>0</v>
      </c>
      <c r="S68" s="2">
        <f t="shared" ca="1" si="25"/>
        <v>0</v>
      </c>
      <c r="T68" s="4">
        <f t="shared" ca="1" si="26"/>
        <v>11.841295677610804</v>
      </c>
      <c r="U68">
        <f t="shared" ca="1" si="27"/>
        <v>0</v>
      </c>
      <c r="V68" s="2"/>
      <c r="W68" s="2"/>
      <c r="X68" s="2"/>
      <c r="Y68" s="2"/>
      <c r="Z68" s="2"/>
      <c r="AA68" s="2"/>
      <c r="AB68" s="1"/>
      <c r="AC68" s="1"/>
      <c r="AD68" s="1"/>
      <c r="AE68" s="1"/>
      <c r="AF68" s="1"/>
      <c r="AG68" s="1"/>
      <c r="AH68" s="1"/>
      <c r="AI68" s="1"/>
    </row>
    <row r="69" spans="1:35" ht="18" x14ac:dyDescent="0.35">
      <c r="A69" s="2">
        <v>68</v>
      </c>
      <c r="B69" s="2">
        <f t="shared" ca="1" si="28"/>
        <v>6.8379316710058262</v>
      </c>
      <c r="C69" s="5">
        <f t="shared" ca="1" si="29"/>
        <v>182.20127264851277</v>
      </c>
      <c r="D69" s="2">
        <f t="shared" ca="1" si="23"/>
        <v>0.74803872050818265</v>
      </c>
      <c r="E69" s="2" t="str">
        <f ca="1">LOOKUP(RAND(),{0,0.4,0.7,0.9},{"DEPOSIT","WITHDRAWAL","INQUIRY","LOAN"})</f>
        <v>WITHDRAWAL</v>
      </c>
      <c r="F69" s="2" t="str">
        <f t="shared" ca="1" si="30"/>
        <v>t3</v>
      </c>
      <c r="G69" s="2">
        <f t="shared" ca="1" si="21"/>
        <v>1.7418032217730213</v>
      </c>
      <c r="H69" s="2">
        <f t="shared" ca="1" si="31"/>
        <v>184.73744618634674</v>
      </c>
      <c r="I69" s="2">
        <f t="shared" ca="1" si="32"/>
        <v>190.9816895354993</v>
      </c>
      <c r="J69" s="2">
        <f t="shared" ref="J69:J132" ca="1" si="38">IF(F69="t3",L69,J68)</f>
        <v>183.94307587028578</v>
      </c>
      <c r="K69" s="5">
        <f t="shared" ca="1" si="33"/>
        <v>182.20127264851277</v>
      </c>
      <c r="L69" s="2">
        <f t="shared" ca="1" si="22"/>
        <v>183.94307587028578</v>
      </c>
      <c r="M69" s="2">
        <f t="shared" ca="1" si="34"/>
        <v>0</v>
      </c>
      <c r="N69" s="2">
        <f t="shared" ca="1" si="24"/>
        <v>0</v>
      </c>
      <c r="O69" s="2">
        <f ca="1">COUNTIFS($C$2:C68,"&lt;="&amp;C69,$L$2:L68,"&gt;"&amp;C69)</f>
        <v>2</v>
      </c>
      <c r="P69" s="5">
        <f t="shared" ca="1" si="35"/>
        <v>0</v>
      </c>
      <c r="Q69" s="5">
        <f t="shared" ca="1" si="36"/>
        <v>0</v>
      </c>
      <c r="R69" s="5">
        <f t="shared" ca="1" si="37"/>
        <v>0</v>
      </c>
      <c r="S69" s="2">
        <f t="shared" ca="1" si="25"/>
        <v>0</v>
      </c>
      <c r="T69" s="4">
        <f t="shared" ca="1" si="26"/>
        <v>0</v>
      </c>
      <c r="U69">
        <f t="shared" ca="1" si="27"/>
        <v>1.7418032217730213</v>
      </c>
      <c r="V69" s="2"/>
      <c r="W69" s="2"/>
      <c r="X69" s="2"/>
      <c r="Y69" s="2"/>
      <c r="Z69" s="2"/>
      <c r="AA69" s="2"/>
      <c r="AB69" s="1"/>
      <c r="AC69" s="1"/>
      <c r="AD69" s="1"/>
      <c r="AE69" s="1"/>
      <c r="AF69" s="1"/>
      <c r="AG69" s="1"/>
      <c r="AH69" s="1"/>
      <c r="AI69" s="1"/>
    </row>
    <row r="70" spans="1:35" ht="18" x14ac:dyDescent="0.35">
      <c r="A70" s="2">
        <v>69</v>
      </c>
      <c r="B70" s="2">
        <f t="shared" ca="1" si="28"/>
        <v>2.5494959278695184</v>
      </c>
      <c r="C70" s="5">
        <f t="shared" ca="1" si="29"/>
        <v>184.75076857638228</v>
      </c>
      <c r="D70" s="2">
        <f t="shared" ca="1" si="23"/>
        <v>0.1547610359915812</v>
      </c>
      <c r="E70" s="2" t="str">
        <f ca="1">LOOKUP(RAND(),{0,0.4,0.7,0.9},{"DEPOSIT","WITHDRAWAL","INQUIRY","LOAN"})</f>
        <v>INQUIRY</v>
      </c>
      <c r="F70" s="2" t="str">
        <f t="shared" ca="1" si="30"/>
        <v>t3</v>
      </c>
      <c r="G70" s="2">
        <f t="shared" ca="1" si="21"/>
        <v>7.4634922199615721</v>
      </c>
      <c r="H70" s="2">
        <f t="shared" ca="1" si="31"/>
        <v>184.73744618634674</v>
      </c>
      <c r="I70" s="2">
        <f t="shared" ca="1" si="32"/>
        <v>190.9816895354993</v>
      </c>
      <c r="J70" s="2">
        <f t="shared" ca="1" si="38"/>
        <v>192.21426079634386</v>
      </c>
      <c r="K70" s="5">
        <f t="shared" ca="1" si="33"/>
        <v>184.75076857638228</v>
      </c>
      <c r="L70" s="2">
        <f t="shared" ca="1" si="22"/>
        <v>192.21426079634386</v>
      </c>
      <c r="M70" s="2">
        <f t="shared" ca="1" si="34"/>
        <v>0</v>
      </c>
      <c r="N70" s="2">
        <f t="shared" ca="1" si="24"/>
        <v>0</v>
      </c>
      <c r="O70" s="2">
        <f ca="1">COUNTIFS($C$2:C69,"&lt;="&amp;C70,$L$2:L69,"&gt;"&amp;C70)</f>
        <v>1</v>
      </c>
      <c r="P70" s="5">
        <f t="shared" ca="1" si="35"/>
        <v>1.3322390035540366E-2</v>
      </c>
      <c r="Q70" s="5">
        <f t="shared" ca="1" si="36"/>
        <v>0</v>
      </c>
      <c r="R70" s="5">
        <f t="shared" ca="1" si="37"/>
        <v>0</v>
      </c>
      <c r="S70" s="2">
        <f t="shared" ca="1" si="25"/>
        <v>0</v>
      </c>
      <c r="T70" s="4">
        <f t="shared" ca="1" si="26"/>
        <v>0</v>
      </c>
      <c r="U70">
        <f t="shared" ca="1" si="27"/>
        <v>7.4634922199615721</v>
      </c>
      <c r="V70" s="2"/>
      <c r="W70" s="2"/>
      <c r="X70" s="2"/>
      <c r="Y70" s="2"/>
      <c r="Z70" s="2"/>
      <c r="AA70" s="2"/>
      <c r="AB70" s="1"/>
      <c r="AC70" s="1"/>
      <c r="AD70" s="1"/>
      <c r="AE70" s="1"/>
      <c r="AF70" s="1"/>
      <c r="AG70" s="1"/>
      <c r="AH70" s="1"/>
      <c r="AI70" s="1"/>
    </row>
    <row r="71" spans="1:35" ht="18" x14ac:dyDescent="0.35">
      <c r="A71" s="2">
        <v>70</v>
      </c>
      <c r="B71" s="2">
        <f t="shared" ca="1" si="28"/>
        <v>11.177575826087871</v>
      </c>
      <c r="C71" s="5">
        <f t="shared" ca="1" si="29"/>
        <v>195.92834440247015</v>
      </c>
      <c r="D71" s="2">
        <f t="shared" ca="1" si="23"/>
        <v>0.69582053152535051</v>
      </c>
      <c r="E71" s="2" t="str">
        <f ca="1">LOOKUP(RAND(),{0,0.4,0.7,0.9},{"DEPOSIT","WITHDRAWAL","INQUIRY","LOAN"})</f>
        <v>INQUIRY</v>
      </c>
      <c r="F71" s="2" t="str">
        <f t="shared" ca="1" si="30"/>
        <v>t1</v>
      </c>
      <c r="G71" s="2">
        <f t="shared" ca="1" si="21"/>
        <v>1.4506540356094297</v>
      </c>
      <c r="H71" s="2">
        <f t="shared" ca="1" si="31"/>
        <v>197.37899843807958</v>
      </c>
      <c r="I71" s="2">
        <f t="shared" ca="1" si="32"/>
        <v>190.9816895354993</v>
      </c>
      <c r="J71" s="2">
        <f t="shared" ca="1" si="38"/>
        <v>192.21426079634386</v>
      </c>
      <c r="K71" s="5">
        <f t="shared" ca="1" si="33"/>
        <v>195.92834440247015</v>
      </c>
      <c r="L71" s="2">
        <f t="shared" ca="1" si="22"/>
        <v>197.37899843807958</v>
      </c>
      <c r="M71" s="2">
        <f t="shared" ca="1" si="34"/>
        <v>0</v>
      </c>
      <c r="N71" s="2">
        <f t="shared" ca="1" si="24"/>
        <v>0</v>
      </c>
      <c r="O71" s="2">
        <f ca="1">COUNTIFS($C$2:C70,"&lt;="&amp;C71,$L$2:L70,"&gt;"&amp;C71)</f>
        <v>0</v>
      </c>
      <c r="P71" s="5">
        <f t="shared" ca="1" si="35"/>
        <v>0</v>
      </c>
      <c r="Q71" s="5">
        <f t="shared" ca="1" si="36"/>
        <v>4.9466548669708459</v>
      </c>
      <c r="R71" s="5">
        <f t="shared" ca="1" si="37"/>
        <v>3.7140836061262803</v>
      </c>
      <c r="S71" s="2">
        <f t="shared" ca="1" si="25"/>
        <v>1.4506540356094297</v>
      </c>
      <c r="T71" s="4">
        <f t="shared" ca="1" si="26"/>
        <v>0</v>
      </c>
      <c r="U71">
        <f t="shared" ca="1" si="27"/>
        <v>0</v>
      </c>
      <c r="V71" s="2"/>
      <c r="W71" s="2"/>
      <c r="X71" s="2"/>
      <c r="Y71" s="2"/>
      <c r="Z71" s="2"/>
      <c r="AA71" s="2"/>
      <c r="AB71" s="1"/>
      <c r="AC71" s="1"/>
      <c r="AD71" s="1"/>
      <c r="AE71" s="1"/>
      <c r="AF71" s="1"/>
      <c r="AG71" s="1"/>
      <c r="AH71" s="1"/>
      <c r="AI71" s="1"/>
    </row>
    <row r="72" spans="1:35" ht="18" x14ac:dyDescent="0.35">
      <c r="A72" s="2">
        <v>71</v>
      </c>
      <c r="B72" s="2">
        <f t="shared" ca="1" si="28"/>
        <v>1.6174322773986149</v>
      </c>
      <c r="C72" s="5">
        <f t="shared" ca="1" si="29"/>
        <v>197.54577667986877</v>
      </c>
      <c r="D72" s="2">
        <f t="shared" ca="1" si="23"/>
        <v>0.31414145826629813</v>
      </c>
      <c r="E72" s="2" t="str">
        <f ca="1">LOOKUP(RAND(),{0,0.4,0.7,0.9},{"DEPOSIT","WITHDRAWAL","INQUIRY","LOAN"})</f>
        <v>INQUIRY</v>
      </c>
      <c r="F72" s="2" t="str">
        <f t="shared" ca="1" si="30"/>
        <v>t1</v>
      </c>
      <c r="G72" s="2">
        <f t="shared" ca="1" si="21"/>
        <v>4.6316475619502482</v>
      </c>
      <c r="H72" s="2">
        <f t="shared" ca="1" si="31"/>
        <v>202.17742424181901</v>
      </c>
      <c r="I72" s="2">
        <f t="shared" ca="1" si="32"/>
        <v>190.9816895354993</v>
      </c>
      <c r="J72" s="2">
        <f t="shared" ca="1" si="38"/>
        <v>192.21426079634386</v>
      </c>
      <c r="K72" s="5">
        <f t="shared" ca="1" si="33"/>
        <v>197.54577667986877</v>
      </c>
      <c r="L72" s="2">
        <f t="shared" ca="1" si="22"/>
        <v>202.17742424181901</v>
      </c>
      <c r="M72" s="2">
        <f t="shared" ca="1" si="34"/>
        <v>0</v>
      </c>
      <c r="N72" s="2">
        <f t="shared" ca="1" si="24"/>
        <v>0</v>
      </c>
      <c r="O72" s="2">
        <f ca="1">COUNTIFS($C$2:C71,"&lt;="&amp;C72,$L$2:L71,"&gt;"&amp;C72)</f>
        <v>0</v>
      </c>
      <c r="P72" s="5">
        <f t="shared" ca="1" si="35"/>
        <v>0</v>
      </c>
      <c r="Q72" s="5">
        <f t="shared" ca="1" si="36"/>
        <v>6.5640871443694664</v>
      </c>
      <c r="R72" s="5">
        <f t="shared" ca="1" si="37"/>
        <v>5.3315158835249008</v>
      </c>
      <c r="S72" s="2">
        <f t="shared" ca="1" si="25"/>
        <v>4.6316475619502482</v>
      </c>
      <c r="T72" s="4">
        <f t="shared" ca="1" si="26"/>
        <v>0</v>
      </c>
      <c r="U72">
        <f t="shared" ca="1" si="27"/>
        <v>0</v>
      </c>
      <c r="V72" s="2"/>
      <c r="W72" s="2"/>
      <c r="X72" s="2"/>
      <c r="Y72" s="2"/>
      <c r="Z72" s="2"/>
      <c r="AA72" s="2"/>
      <c r="AB72" s="1"/>
      <c r="AC72" s="1"/>
      <c r="AD72" s="1"/>
      <c r="AE72" s="1"/>
      <c r="AF72" s="1"/>
      <c r="AG72" s="1"/>
      <c r="AH72" s="1"/>
      <c r="AI72" s="1"/>
    </row>
    <row r="73" spans="1:35" ht="18" x14ac:dyDescent="0.35">
      <c r="A73" s="2">
        <v>72</v>
      </c>
      <c r="B73" s="2">
        <f t="shared" ca="1" si="28"/>
        <v>0.99437963172060817</v>
      </c>
      <c r="C73" s="5">
        <f t="shared" ca="1" si="29"/>
        <v>198.54015631158939</v>
      </c>
      <c r="D73" s="2">
        <f t="shared" ca="1" si="23"/>
        <v>0.13374432802640235</v>
      </c>
      <c r="E73" s="2" t="str">
        <f ca="1">LOOKUP(RAND(),{0,0.4,0.7,0.9},{"DEPOSIT","WITHDRAWAL","INQUIRY","LOAN"})</f>
        <v>INQUIRY</v>
      </c>
      <c r="F73" s="2" t="str">
        <f t="shared" ca="1" si="30"/>
        <v>t2</v>
      </c>
      <c r="G73" s="2">
        <f t="shared" ca="1" si="21"/>
        <v>8.0473012055378792</v>
      </c>
      <c r="H73" s="2">
        <f t="shared" ca="1" si="31"/>
        <v>202.17742424181901</v>
      </c>
      <c r="I73" s="2">
        <f t="shared" ca="1" si="32"/>
        <v>206.58745751712726</v>
      </c>
      <c r="J73" s="2">
        <f t="shared" ca="1" si="38"/>
        <v>192.21426079634386</v>
      </c>
      <c r="K73" s="5">
        <f t="shared" ca="1" si="33"/>
        <v>198.54015631158939</v>
      </c>
      <c r="L73" s="2">
        <f t="shared" ca="1" si="22"/>
        <v>206.58745751712726</v>
      </c>
      <c r="M73" s="2">
        <f t="shared" ca="1" si="34"/>
        <v>0</v>
      </c>
      <c r="N73" s="2">
        <f t="shared" ca="1" si="24"/>
        <v>0</v>
      </c>
      <c r="O73" s="2">
        <f ca="1">COUNTIFS($C$2:C72,"&lt;="&amp;C73,$L$2:L72,"&gt;"&amp;C73)</f>
        <v>1</v>
      </c>
      <c r="P73" s="5">
        <f t="shared" ca="1" si="35"/>
        <v>0</v>
      </c>
      <c r="Q73" s="5">
        <f t="shared" ca="1" si="36"/>
        <v>0</v>
      </c>
      <c r="R73" s="5">
        <f t="shared" ca="1" si="37"/>
        <v>6.3258955152455201</v>
      </c>
      <c r="S73" s="2">
        <f t="shared" ca="1" si="25"/>
        <v>0</v>
      </c>
      <c r="T73" s="4">
        <f t="shared" ca="1" si="26"/>
        <v>8.0473012055378792</v>
      </c>
      <c r="U73">
        <f t="shared" ca="1" si="27"/>
        <v>0</v>
      </c>
      <c r="V73" s="2"/>
      <c r="W73" s="2"/>
      <c r="X73" s="2"/>
      <c r="Y73" s="2"/>
      <c r="Z73" s="2"/>
      <c r="AA73" s="2"/>
      <c r="AB73" s="1"/>
      <c r="AC73" s="1"/>
      <c r="AD73" s="1"/>
      <c r="AE73" s="1"/>
      <c r="AF73" s="1"/>
      <c r="AG73" s="1"/>
      <c r="AH73" s="1"/>
      <c r="AI73" s="1"/>
    </row>
    <row r="74" spans="1:35" ht="18" x14ac:dyDescent="0.35">
      <c r="A74" s="2">
        <v>73</v>
      </c>
      <c r="B74" s="2">
        <f t="shared" ca="1" si="28"/>
        <v>8.2953835317277491</v>
      </c>
      <c r="C74" s="5">
        <f t="shared" ca="1" si="29"/>
        <v>206.83553984331712</v>
      </c>
      <c r="D74" s="2">
        <f t="shared" ca="1" si="23"/>
        <v>0.42875632388996521</v>
      </c>
      <c r="E74" s="2" t="str">
        <f ca="1">LOOKUP(RAND(),{0,0.4,0.7,0.9},{"DEPOSIT","WITHDRAWAL","INQUIRY","LOAN"})</f>
        <v>INQUIRY</v>
      </c>
      <c r="F74" s="2" t="str">
        <f t="shared" ca="1" si="30"/>
        <v>t1</v>
      </c>
      <c r="G74" s="2">
        <f t="shared" ca="1" si="21"/>
        <v>3.3874661240527004</v>
      </c>
      <c r="H74" s="2">
        <f t="shared" ca="1" si="31"/>
        <v>210.22300596736983</v>
      </c>
      <c r="I74" s="2">
        <f t="shared" ca="1" si="32"/>
        <v>206.58745751712726</v>
      </c>
      <c r="J74" s="2">
        <f t="shared" ca="1" si="38"/>
        <v>192.21426079634386</v>
      </c>
      <c r="K74" s="5">
        <f t="shared" ca="1" si="33"/>
        <v>206.83553984331712</v>
      </c>
      <c r="L74" s="2">
        <f t="shared" ca="1" si="22"/>
        <v>210.22300596736983</v>
      </c>
      <c r="M74" s="2">
        <f t="shared" ca="1" si="34"/>
        <v>0</v>
      </c>
      <c r="N74" s="2">
        <f t="shared" ca="1" si="24"/>
        <v>0</v>
      </c>
      <c r="O74" s="2">
        <f ca="1">COUNTIFS($C$2:C73,"&lt;="&amp;C74,$L$2:L73,"&gt;"&amp;C74)</f>
        <v>0</v>
      </c>
      <c r="P74" s="5">
        <f t="shared" ca="1" si="35"/>
        <v>0</v>
      </c>
      <c r="Q74" s="5">
        <f t="shared" ca="1" si="36"/>
        <v>0.24808232618985926</v>
      </c>
      <c r="R74" s="5">
        <f t="shared" ca="1" si="37"/>
        <v>14.621279046973257</v>
      </c>
      <c r="S74" s="2">
        <f t="shared" ca="1" si="25"/>
        <v>3.3874661240527004</v>
      </c>
      <c r="T74" s="4">
        <f t="shared" ca="1" si="26"/>
        <v>0</v>
      </c>
      <c r="U74">
        <f t="shared" ca="1" si="27"/>
        <v>0</v>
      </c>
      <c r="V74" s="2"/>
      <c r="W74" s="2"/>
      <c r="X74" s="2"/>
      <c r="Y74" s="2"/>
      <c r="Z74" s="2"/>
      <c r="AA74" s="2"/>
      <c r="AB74" s="1"/>
      <c r="AC74" s="1"/>
      <c r="AD74" s="1"/>
      <c r="AE74" s="1"/>
      <c r="AF74" s="1"/>
      <c r="AG74" s="1"/>
      <c r="AH74" s="1"/>
      <c r="AI74" s="1"/>
    </row>
    <row r="75" spans="1:35" ht="18" x14ac:dyDescent="0.35">
      <c r="A75" s="2">
        <v>74</v>
      </c>
      <c r="B75" s="2">
        <f t="shared" ca="1" si="28"/>
        <v>3.0772616513035573</v>
      </c>
      <c r="C75" s="5">
        <f t="shared" ca="1" si="29"/>
        <v>209.91280149462068</v>
      </c>
      <c r="D75" s="2">
        <f t="shared" ca="1" si="23"/>
        <v>0.23272884267972282</v>
      </c>
      <c r="E75" s="2" t="str">
        <f ca="1">LOOKUP(RAND(),{0,0.4,0.7,0.9},{"DEPOSIT","WITHDRAWAL","INQUIRY","LOAN"})</f>
        <v>LOAN</v>
      </c>
      <c r="F75" s="2" t="str">
        <f t="shared" ca="1" si="30"/>
        <v>t3</v>
      </c>
      <c r="G75" s="2">
        <f t="shared" ca="1" si="21"/>
        <v>17.494575221282627</v>
      </c>
      <c r="H75" s="2">
        <f t="shared" ca="1" si="31"/>
        <v>210.22300596736983</v>
      </c>
      <c r="I75" s="2">
        <f t="shared" ca="1" si="32"/>
        <v>206.58745751712726</v>
      </c>
      <c r="J75" s="2">
        <f t="shared" ca="1" si="38"/>
        <v>227.4073767159033</v>
      </c>
      <c r="K75" s="5">
        <f t="shared" ca="1" si="33"/>
        <v>209.91280149462068</v>
      </c>
      <c r="L75" s="2">
        <f t="shared" ca="1" si="22"/>
        <v>227.4073767159033</v>
      </c>
      <c r="M75" s="2">
        <f t="shared" ca="1" si="34"/>
        <v>0</v>
      </c>
      <c r="N75" s="2">
        <f t="shared" ca="1" si="24"/>
        <v>0</v>
      </c>
      <c r="O75" s="2">
        <f ca="1">COUNTIFS($C$2:C74,"&lt;="&amp;C75,$L$2:L74,"&gt;"&amp;C75)</f>
        <v>1</v>
      </c>
      <c r="P75" s="5">
        <f t="shared" ca="1" si="35"/>
        <v>0</v>
      </c>
      <c r="Q75" s="5">
        <f t="shared" ca="1" si="36"/>
        <v>3.3253439774934179</v>
      </c>
      <c r="R75" s="5">
        <f t="shared" ca="1" si="37"/>
        <v>0</v>
      </c>
      <c r="S75" s="2">
        <f t="shared" ca="1" si="25"/>
        <v>0</v>
      </c>
      <c r="T75" s="4">
        <f t="shared" ca="1" si="26"/>
        <v>0</v>
      </c>
      <c r="U75">
        <f t="shared" ca="1" si="27"/>
        <v>17.494575221282627</v>
      </c>
      <c r="V75" s="2"/>
      <c r="W75" s="2"/>
      <c r="X75" s="2"/>
      <c r="Y75" s="2"/>
      <c r="Z75" s="2"/>
      <c r="AA75" s="2"/>
      <c r="AB75" s="1"/>
      <c r="AC75" s="1"/>
      <c r="AD75" s="1"/>
      <c r="AE75" s="1"/>
      <c r="AF75" s="1"/>
      <c r="AG75" s="1"/>
      <c r="AH75" s="1"/>
      <c r="AI75" s="1"/>
    </row>
    <row r="76" spans="1:35" ht="18" x14ac:dyDescent="0.35">
      <c r="A76" s="2">
        <v>75</v>
      </c>
      <c r="B76" s="2">
        <f t="shared" ca="1" si="28"/>
        <v>2.4178391972076145</v>
      </c>
      <c r="C76" s="5">
        <f t="shared" ca="1" si="29"/>
        <v>212.33064069182831</v>
      </c>
      <c r="D76" s="2">
        <f t="shared" ca="1" si="23"/>
        <v>0.40798700726468973</v>
      </c>
      <c r="E76" s="2" t="str">
        <f ca="1">LOOKUP(RAND(),{0,0.4,0.7,0.9},{"DEPOSIT","WITHDRAWAL","INQUIRY","LOAN"})</f>
        <v>INQUIRY</v>
      </c>
      <c r="F76" s="2" t="str">
        <f t="shared" ca="1" si="30"/>
        <v>t2</v>
      </c>
      <c r="G76" s="2">
        <f t="shared" ca="1" si="21"/>
        <v>3.5860798000980885</v>
      </c>
      <c r="H76" s="2">
        <f t="shared" ca="1" si="31"/>
        <v>210.22300596736983</v>
      </c>
      <c r="I76" s="2">
        <f t="shared" ca="1" si="32"/>
        <v>215.91672049192638</v>
      </c>
      <c r="J76" s="2">
        <f t="shared" ca="1" si="38"/>
        <v>227.4073767159033</v>
      </c>
      <c r="K76" s="5">
        <f t="shared" ca="1" si="33"/>
        <v>212.33064069182831</v>
      </c>
      <c r="L76" s="2">
        <f t="shared" ca="1" si="22"/>
        <v>215.91672049192638</v>
      </c>
      <c r="M76" s="2">
        <f t="shared" ca="1" si="34"/>
        <v>0</v>
      </c>
      <c r="N76" s="2">
        <f t="shared" ca="1" si="24"/>
        <v>0</v>
      </c>
      <c r="O76" s="2">
        <f ca="1">COUNTIFS($C$2:C75,"&lt;="&amp;C76,$L$2:L75,"&gt;"&amp;C76)</f>
        <v>1</v>
      </c>
      <c r="P76" s="5">
        <f t="shared" ca="1" si="35"/>
        <v>2.1076347244584781</v>
      </c>
      <c r="Q76" s="5">
        <f t="shared" ca="1" si="36"/>
        <v>0</v>
      </c>
      <c r="R76" s="5">
        <f t="shared" ca="1" si="37"/>
        <v>0</v>
      </c>
      <c r="S76" s="2">
        <f t="shared" ca="1" si="25"/>
        <v>0</v>
      </c>
      <c r="T76" s="4">
        <f t="shared" ca="1" si="26"/>
        <v>3.5860798000980885</v>
      </c>
      <c r="U76">
        <f t="shared" ca="1" si="27"/>
        <v>0</v>
      </c>
      <c r="V76" s="2"/>
      <c r="W76" s="2"/>
      <c r="X76" s="2"/>
      <c r="Y76" s="2"/>
      <c r="Z76" s="2"/>
      <c r="AA76" s="2"/>
      <c r="AB76" s="1"/>
      <c r="AC76" s="1"/>
      <c r="AD76" s="1"/>
      <c r="AE76" s="1"/>
      <c r="AF76" s="1"/>
      <c r="AG76" s="1"/>
      <c r="AH76" s="1"/>
      <c r="AI76" s="1"/>
    </row>
    <row r="77" spans="1:35" ht="18" x14ac:dyDescent="0.35">
      <c r="A77" s="2">
        <v>76</v>
      </c>
      <c r="B77" s="2">
        <f t="shared" ca="1" si="28"/>
        <v>2.3978918968484342</v>
      </c>
      <c r="C77" s="5">
        <f t="shared" ca="1" si="29"/>
        <v>214.72853258867673</v>
      </c>
      <c r="D77" s="2">
        <f t="shared" ca="1" si="23"/>
        <v>0.99601027260511588</v>
      </c>
      <c r="E77" s="2" t="str">
        <f ca="1">LOOKUP(RAND(),{0,0.4,0.7,0.9},{"DEPOSIT","WITHDRAWAL","INQUIRY","LOAN"})</f>
        <v>DEPOSIT</v>
      </c>
      <c r="F77" s="2" t="str">
        <f t="shared" ca="1" si="30"/>
        <v>t1</v>
      </c>
      <c r="G77" s="2">
        <f t="shared" ca="1" si="21"/>
        <v>1</v>
      </c>
      <c r="H77" s="2">
        <f t="shared" ca="1" si="31"/>
        <v>215.72853258867673</v>
      </c>
      <c r="I77" s="2">
        <f t="shared" ca="1" si="32"/>
        <v>215.91672049192638</v>
      </c>
      <c r="J77" s="2">
        <f t="shared" ca="1" si="38"/>
        <v>227.4073767159033</v>
      </c>
      <c r="K77" s="5">
        <f t="shared" ca="1" si="33"/>
        <v>214.72853258867673</v>
      </c>
      <c r="L77" s="2">
        <f t="shared" ca="1" si="22"/>
        <v>215.72853258867673</v>
      </c>
      <c r="M77" s="2">
        <f t="shared" ca="1" si="34"/>
        <v>0</v>
      </c>
      <c r="N77" s="2">
        <f t="shared" ca="1" si="24"/>
        <v>0</v>
      </c>
      <c r="O77" s="2">
        <f ca="1">COUNTIFS($C$2:C76,"&lt;="&amp;C77,$L$2:L76,"&gt;"&amp;C77)</f>
        <v>2</v>
      </c>
      <c r="P77" s="5">
        <f t="shared" ca="1" si="35"/>
        <v>0</v>
      </c>
      <c r="Q77" s="5">
        <f t="shared" ca="1" si="36"/>
        <v>0</v>
      </c>
      <c r="R77" s="5">
        <f t="shared" ca="1" si="37"/>
        <v>0</v>
      </c>
      <c r="S77" s="2">
        <f t="shared" ca="1" si="25"/>
        <v>1</v>
      </c>
      <c r="T77" s="4">
        <f t="shared" ca="1" si="26"/>
        <v>0</v>
      </c>
      <c r="U77">
        <f t="shared" ca="1" si="27"/>
        <v>0</v>
      </c>
      <c r="V77" s="2"/>
      <c r="W77" s="2"/>
      <c r="X77" s="2"/>
      <c r="Y77" s="2"/>
      <c r="Z77" s="2"/>
      <c r="AA77" s="2"/>
      <c r="AB77" s="1"/>
      <c r="AC77" s="1"/>
      <c r="AD77" s="1"/>
      <c r="AE77" s="1"/>
      <c r="AF77" s="1"/>
      <c r="AG77" s="1"/>
      <c r="AH77" s="1"/>
      <c r="AI77" s="1"/>
    </row>
    <row r="78" spans="1:35" ht="18" x14ac:dyDescent="0.35">
      <c r="A78" s="2">
        <v>77</v>
      </c>
      <c r="B78" s="2">
        <f t="shared" ca="1" si="28"/>
        <v>0.33876285648869447</v>
      </c>
      <c r="C78" s="5">
        <f t="shared" ca="1" si="29"/>
        <v>215.06729544516543</v>
      </c>
      <c r="D78" s="2">
        <f t="shared" ca="1" si="23"/>
        <v>0.8695213361916001</v>
      </c>
      <c r="E78" s="2" t="str">
        <f ca="1">LOOKUP(RAND(),{0,0.4,0.7,0.9},{"DEPOSIT","WITHDRAWAL","INQUIRY","LOAN"})</f>
        <v>DEPOSIT</v>
      </c>
      <c r="F78" s="2" t="str">
        <f t="shared" ca="1" si="30"/>
        <v>t1</v>
      </c>
      <c r="G78" s="2">
        <f t="shared" ca="1" si="21"/>
        <v>1</v>
      </c>
      <c r="H78" s="2">
        <f t="shared" ca="1" si="31"/>
        <v>216.72853258867673</v>
      </c>
      <c r="I78" s="2">
        <f t="shared" ca="1" si="32"/>
        <v>215.91672049192638</v>
      </c>
      <c r="J78" s="2">
        <f t="shared" ca="1" si="38"/>
        <v>227.4073767159033</v>
      </c>
      <c r="K78" s="5">
        <f t="shared" ca="1" si="33"/>
        <v>215.72853258867673</v>
      </c>
      <c r="L78" s="2">
        <f t="shared" ca="1" si="22"/>
        <v>216.72853258867673</v>
      </c>
      <c r="M78" s="2">
        <f t="shared" ca="1" si="34"/>
        <v>0.66123714351130047</v>
      </c>
      <c r="N78" s="2">
        <f t="shared" ca="1" si="24"/>
        <v>1</v>
      </c>
      <c r="O78" s="2">
        <f ca="1">COUNTIFS($C$2:C77,"&lt;="&amp;C78,$L$2:L77,"&gt;"&amp;C78)</f>
        <v>3</v>
      </c>
      <c r="P78" s="5">
        <f t="shared" ca="1" si="35"/>
        <v>0</v>
      </c>
      <c r="Q78" s="5">
        <f t="shared" ca="1" si="36"/>
        <v>0</v>
      </c>
      <c r="R78" s="5">
        <f t="shared" ca="1" si="37"/>
        <v>0</v>
      </c>
      <c r="S78" s="2">
        <f t="shared" ca="1" si="25"/>
        <v>1</v>
      </c>
      <c r="T78" s="4">
        <f t="shared" ca="1" si="26"/>
        <v>0</v>
      </c>
      <c r="U78">
        <f t="shared" ca="1" si="27"/>
        <v>0</v>
      </c>
      <c r="V78" s="2"/>
      <c r="W78" s="2"/>
      <c r="X78" s="2"/>
      <c r="Y78" s="2"/>
      <c r="Z78" s="2"/>
      <c r="AA78" s="2"/>
      <c r="AB78" s="1"/>
      <c r="AC78" s="1"/>
      <c r="AD78" s="1"/>
      <c r="AE78" s="1"/>
      <c r="AF78" s="1"/>
      <c r="AG78" s="1"/>
      <c r="AH78" s="1"/>
      <c r="AI78" s="1"/>
    </row>
    <row r="79" spans="1:35" ht="18" x14ac:dyDescent="0.35">
      <c r="A79" s="2">
        <v>78</v>
      </c>
      <c r="B79" s="2">
        <f t="shared" ca="1" si="28"/>
        <v>0.61146045513493652</v>
      </c>
      <c r="C79" s="5">
        <f t="shared" ca="1" si="29"/>
        <v>215.67875590030036</v>
      </c>
      <c r="D79" s="2">
        <f t="shared" ca="1" si="23"/>
        <v>0.47727905313211139</v>
      </c>
      <c r="E79" s="2" t="str">
        <f ca="1">LOOKUP(RAND(),{0,0.4,0.7,0.9},{"DEPOSIT","WITHDRAWAL","INQUIRY","LOAN"})</f>
        <v>WITHDRAWAL</v>
      </c>
      <c r="F79" s="2" t="str">
        <f t="shared" ca="1" si="30"/>
        <v>t2</v>
      </c>
      <c r="G79" s="2">
        <f t="shared" ca="1" si="21"/>
        <v>4.4379236526066439</v>
      </c>
      <c r="H79" s="2">
        <f t="shared" ca="1" si="31"/>
        <v>216.72853258867673</v>
      </c>
      <c r="I79" s="2">
        <f t="shared" ca="1" si="32"/>
        <v>220.35464414453304</v>
      </c>
      <c r="J79" s="2">
        <f t="shared" ca="1" si="38"/>
        <v>227.4073767159033</v>
      </c>
      <c r="K79" s="5">
        <f t="shared" ca="1" si="33"/>
        <v>215.91672049192638</v>
      </c>
      <c r="L79" s="2">
        <f t="shared" ca="1" si="22"/>
        <v>220.35464414453304</v>
      </c>
      <c r="M79" s="2">
        <f t="shared" ca="1" si="34"/>
        <v>0.23796459162602446</v>
      </c>
      <c r="N79" s="2">
        <f t="shared" ca="1" si="24"/>
        <v>1</v>
      </c>
      <c r="O79" s="2">
        <f ca="1">COUNTIFS($C$2:C78,"&lt;="&amp;C79,$L$2:L78,"&gt;"&amp;C79)</f>
        <v>4</v>
      </c>
      <c r="P79" s="5">
        <f t="shared" ca="1" si="35"/>
        <v>0</v>
      </c>
      <c r="Q79" s="5">
        <f t="shared" ca="1" si="36"/>
        <v>0</v>
      </c>
      <c r="R79" s="5">
        <f t="shared" ca="1" si="37"/>
        <v>0</v>
      </c>
      <c r="S79" s="2">
        <f t="shared" ca="1" si="25"/>
        <v>0</v>
      </c>
      <c r="T79" s="4">
        <f t="shared" ca="1" si="26"/>
        <v>4.4379236526066439</v>
      </c>
      <c r="U79">
        <f t="shared" ca="1" si="27"/>
        <v>0</v>
      </c>
      <c r="V79" s="2"/>
      <c r="W79" s="2"/>
      <c r="X79" s="2"/>
      <c r="Y79" s="2"/>
      <c r="Z79" s="2"/>
      <c r="AA79" s="2"/>
      <c r="AB79" s="1"/>
      <c r="AC79" s="1"/>
      <c r="AD79" s="1"/>
      <c r="AE79" s="1"/>
      <c r="AF79" s="1"/>
      <c r="AG79" s="1"/>
      <c r="AH79" s="1"/>
      <c r="AI79" s="1"/>
    </row>
    <row r="80" spans="1:35" ht="18" x14ac:dyDescent="0.35">
      <c r="A80" s="2">
        <v>79</v>
      </c>
      <c r="B80" s="2">
        <f t="shared" ca="1" si="28"/>
        <v>2.389926571287174</v>
      </c>
      <c r="C80" s="5">
        <f t="shared" ca="1" si="29"/>
        <v>218.06868247158752</v>
      </c>
      <c r="D80" s="2">
        <f t="shared" ca="1" si="23"/>
        <v>3.2949731810529959E-2</v>
      </c>
      <c r="E80" s="2" t="str">
        <f ca="1">LOOKUP(RAND(),{0,0.4,0.7,0.9},{"DEPOSIT","WITHDRAWAL","INQUIRY","LOAN"})</f>
        <v>WITHDRAWAL</v>
      </c>
      <c r="F80" s="2" t="str">
        <f t="shared" ca="1" si="30"/>
        <v>t1</v>
      </c>
      <c r="G80" s="2">
        <f t="shared" ca="1" si="21"/>
        <v>20.476632944115803</v>
      </c>
      <c r="H80" s="2">
        <f t="shared" ca="1" si="31"/>
        <v>238.54531541570333</v>
      </c>
      <c r="I80" s="2">
        <f t="shared" ca="1" si="32"/>
        <v>220.35464414453304</v>
      </c>
      <c r="J80" s="2">
        <f t="shared" ca="1" si="38"/>
        <v>227.4073767159033</v>
      </c>
      <c r="K80" s="5">
        <f t="shared" ca="1" si="33"/>
        <v>218.06868247158752</v>
      </c>
      <c r="L80" s="2">
        <f t="shared" ca="1" si="22"/>
        <v>238.54531541570333</v>
      </c>
      <c r="M80" s="2">
        <f t="shared" ca="1" si="34"/>
        <v>0</v>
      </c>
      <c r="N80" s="2">
        <f t="shared" ca="1" si="24"/>
        <v>0</v>
      </c>
      <c r="O80" s="2">
        <f ca="1">COUNTIFS($C$2:C79,"&lt;="&amp;C80,$L$2:L79,"&gt;"&amp;C80)</f>
        <v>2</v>
      </c>
      <c r="P80" s="5">
        <f t="shared" ca="1" si="35"/>
        <v>0</v>
      </c>
      <c r="Q80" s="5">
        <f t="shared" ca="1" si="36"/>
        <v>0</v>
      </c>
      <c r="R80" s="5">
        <f t="shared" ca="1" si="37"/>
        <v>0</v>
      </c>
      <c r="S80" s="2">
        <f t="shared" ca="1" si="25"/>
        <v>20.476632944115803</v>
      </c>
      <c r="T80" s="4">
        <f t="shared" ca="1" si="26"/>
        <v>0</v>
      </c>
      <c r="U80">
        <f t="shared" ca="1" si="27"/>
        <v>0</v>
      </c>
      <c r="V80" s="2"/>
      <c r="W80" s="2"/>
      <c r="X80" s="2"/>
      <c r="Y80" s="2"/>
      <c r="Z80" s="2"/>
      <c r="AA80" s="2"/>
      <c r="AB80" s="1"/>
      <c r="AC80" s="1"/>
      <c r="AD80" s="1"/>
      <c r="AE80" s="1"/>
      <c r="AF80" s="1"/>
      <c r="AG80" s="1"/>
      <c r="AH80" s="1"/>
      <c r="AI80" s="1"/>
    </row>
    <row r="81" spans="1:35" ht="18" x14ac:dyDescent="0.35">
      <c r="A81" s="2">
        <v>80</v>
      </c>
      <c r="B81" s="2">
        <f t="shared" ca="1" si="28"/>
        <v>1.49735967973944</v>
      </c>
      <c r="C81" s="5">
        <f t="shared" ca="1" si="29"/>
        <v>219.56604215132697</v>
      </c>
      <c r="D81" s="2">
        <f t="shared" ca="1" si="23"/>
        <v>0.14610355639770367</v>
      </c>
      <c r="E81" s="2" t="str">
        <f ca="1">LOOKUP(RAND(),{0,0.4,0.7,0.9},{"DEPOSIT","WITHDRAWAL","INQUIRY","LOAN"})</f>
        <v>INQUIRY</v>
      </c>
      <c r="F81" s="2" t="str">
        <f t="shared" ca="1" si="30"/>
        <v>t2</v>
      </c>
      <c r="G81" s="2">
        <f t="shared" ca="1" si="21"/>
        <v>7.6937584732244773</v>
      </c>
      <c r="H81" s="2">
        <f t="shared" ca="1" si="31"/>
        <v>238.54531541570333</v>
      </c>
      <c r="I81" s="2">
        <f t="shared" ca="1" si="32"/>
        <v>228.04840261775752</v>
      </c>
      <c r="J81" s="2">
        <f t="shared" ca="1" si="38"/>
        <v>227.4073767159033</v>
      </c>
      <c r="K81" s="5">
        <f t="shared" ca="1" si="33"/>
        <v>220.35464414453304</v>
      </c>
      <c r="L81" s="2">
        <f t="shared" ca="1" si="22"/>
        <v>228.04840261775752</v>
      </c>
      <c r="M81" s="2">
        <f t="shared" ca="1" si="34"/>
        <v>0.78860199320607194</v>
      </c>
      <c r="N81" s="2">
        <f t="shared" ca="1" si="24"/>
        <v>1</v>
      </c>
      <c r="O81" s="2">
        <f ca="1">COUNTIFS($C$2:C80,"&lt;="&amp;C81,$L$2:L80,"&gt;"&amp;C81)</f>
        <v>3</v>
      </c>
      <c r="P81" s="5">
        <f t="shared" ca="1" si="35"/>
        <v>0</v>
      </c>
      <c r="Q81" s="5">
        <f t="shared" ca="1" si="36"/>
        <v>0</v>
      </c>
      <c r="R81" s="5">
        <f t="shared" ca="1" si="37"/>
        <v>0</v>
      </c>
      <c r="S81" s="2">
        <f t="shared" ca="1" si="25"/>
        <v>0</v>
      </c>
      <c r="T81" s="4">
        <f t="shared" ca="1" si="26"/>
        <v>7.6937584732244773</v>
      </c>
      <c r="U81">
        <f t="shared" ca="1" si="27"/>
        <v>0</v>
      </c>
      <c r="V81" s="2"/>
      <c r="W81" s="2"/>
      <c r="X81" s="2"/>
      <c r="Y81" s="2"/>
      <c r="Z81" s="2"/>
      <c r="AA81" s="2"/>
      <c r="AB81" s="1"/>
      <c r="AC81" s="1"/>
      <c r="AD81" s="1"/>
      <c r="AE81" s="1"/>
      <c r="AF81" s="1"/>
      <c r="AG81" s="1"/>
      <c r="AH81" s="1"/>
      <c r="AI81" s="1"/>
    </row>
    <row r="82" spans="1:35" ht="18" x14ac:dyDescent="0.35">
      <c r="A82" s="2">
        <v>81</v>
      </c>
      <c r="B82" s="2">
        <f t="shared" ca="1" si="28"/>
        <v>2.2807741934785812</v>
      </c>
      <c r="C82" s="5">
        <f t="shared" ca="1" si="29"/>
        <v>221.84681634480555</v>
      </c>
      <c r="D82" s="2">
        <f t="shared" ca="1" si="23"/>
        <v>0.48539094270825689</v>
      </c>
      <c r="E82" s="2" t="str">
        <f ca="1">LOOKUP(RAND(),{0,0.4,0.7,0.9},{"DEPOSIT","WITHDRAWAL","INQUIRY","LOAN"})</f>
        <v>WITHDRAWAL</v>
      </c>
      <c r="F82" s="2" t="str">
        <f t="shared" ca="1" si="30"/>
        <v>t3</v>
      </c>
      <c r="G82" s="2">
        <f t="shared" ca="1" si="21"/>
        <v>4.3368038718170023</v>
      </c>
      <c r="H82" s="2">
        <f t="shared" ca="1" si="31"/>
        <v>238.54531541570333</v>
      </c>
      <c r="I82" s="2">
        <f t="shared" ca="1" si="32"/>
        <v>228.04840261775752</v>
      </c>
      <c r="J82" s="2">
        <f t="shared" ca="1" si="38"/>
        <v>231.74418058772031</v>
      </c>
      <c r="K82" s="5">
        <f t="shared" ca="1" si="33"/>
        <v>227.4073767159033</v>
      </c>
      <c r="L82" s="2">
        <f t="shared" ca="1" si="22"/>
        <v>231.74418058772031</v>
      </c>
      <c r="M82" s="2">
        <f t="shared" ca="1" si="34"/>
        <v>5.5605603710977505</v>
      </c>
      <c r="N82" s="2">
        <f t="shared" ca="1" si="24"/>
        <v>1</v>
      </c>
      <c r="O82" s="2">
        <f ca="1">COUNTIFS($C$2:C81,"&lt;="&amp;C82,$L$2:L81,"&gt;"&amp;C82)</f>
        <v>3</v>
      </c>
      <c r="P82" s="5">
        <f t="shared" ca="1" si="35"/>
        <v>0</v>
      </c>
      <c r="Q82" s="5">
        <f t="shared" ca="1" si="36"/>
        <v>0</v>
      </c>
      <c r="R82" s="5">
        <f t="shared" ca="1" si="37"/>
        <v>0</v>
      </c>
      <c r="S82" s="2">
        <f t="shared" ca="1" si="25"/>
        <v>0</v>
      </c>
      <c r="T82" s="4">
        <f t="shared" ca="1" si="26"/>
        <v>0</v>
      </c>
      <c r="U82">
        <f t="shared" ca="1" si="27"/>
        <v>4.3368038718170023</v>
      </c>
      <c r="V82" s="2"/>
      <c r="W82" s="2"/>
      <c r="X82" s="2"/>
      <c r="Y82" s="2"/>
      <c r="Z82" s="2"/>
      <c r="AA82" s="2"/>
      <c r="AB82" s="1"/>
      <c r="AC82" s="1"/>
      <c r="AD82" s="1"/>
      <c r="AE82" s="1"/>
      <c r="AF82" s="1"/>
      <c r="AG82" s="1"/>
      <c r="AH82" s="1"/>
      <c r="AI82" s="1"/>
    </row>
    <row r="83" spans="1:35" ht="18" x14ac:dyDescent="0.35">
      <c r="A83" s="2">
        <v>82</v>
      </c>
      <c r="B83" s="2">
        <f t="shared" ca="1" si="28"/>
        <v>6.0035551123979216</v>
      </c>
      <c r="C83" s="5">
        <f t="shared" ca="1" si="29"/>
        <v>227.85037145720347</v>
      </c>
      <c r="D83" s="2">
        <f t="shared" ca="1" si="23"/>
        <v>0.2620154661327655</v>
      </c>
      <c r="E83" s="2" t="str">
        <f ca="1">LOOKUP(RAND(),{0,0.4,0.7,0.9},{"DEPOSIT","WITHDRAWAL","INQUIRY","LOAN"})</f>
        <v>INQUIRY</v>
      </c>
      <c r="F83" s="2" t="str">
        <f t="shared" ca="1" si="30"/>
        <v>t2</v>
      </c>
      <c r="G83" s="2">
        <f t="shared" ca="1" si="21"/>
        <v>5.3574069836888558</v>
      </c>
      <c r="H83" s="2">
        <f t="shared" ca="1" si="31"/>
        <v>238.54531541570333</v>
      </c>
      <c r="I83" s="2">
        <f t="shared" ca="1" si="32"/>
        <v>233.40580960144638</v>
      </c>
      <c r="J83" s="2">
        <f t="shared" ca="1" si="38"/>
        <v>231.74418058772031</v>
      </c>
      <c r="K83" s="5">
        <f t="shared" ca="1" si="33"/>
        <v>228.04840261775752</v>
      </c>
      <c r="L83" s="2">
        <f t="shared" ca="1" si="22"/>
        <v>233.40580960144638</v>
      </c>
      <c r="M83" s="2">
        <f t="shared" ca="1" si="34"/>
        <v>0.19803116055405212</v>
      </c>
      <c r="N83" s="2">
        <f t="shared" ca="1" si="24"/>
        <v>1</v>
      </c>
      <c r="O83" s="2">
        <f ca="1">COUNTIFS($C$2:C82,"&lt;="&amp;C83,$L$2:L82,"&gt;"&amp;C83)</f>
        <v>3</v>
      </c>
      <c r="P83" s="5">
        <f t="shared" ca="1" si="35"/>
        <v>0</v>
      </c>
      <c r="Q83" s="5">
        <f t="shared" ca="1" si="36"/>
        <v>0</v>
      </c>
      <c r="R83" s="5">
        <f t="shared" ca="1" si="37"/>
        <v>0</v>
      </c>
      <c r="S83" s="2">
        <f t="shared" ca="1" si="25"/>
        <v>0</v>
      </c>
      <c r="T83" s="4">
        <f t="shared" ca="1" si="26"/>
        <v>5.3574069836888558</v>
      </c>
      <c r="U83">
        <f t="shared" ca="1" si="27"/>
        <v>0</v>
      </c>
      <c r="V83" s="2"/>
      <c r="W83" s="2"/>
      <c r="X83" s="2"/>
      <c r="Y83" s="2"/>
      <c r="Z83" s="2"/>
      <c r="AA83" s="2"/>
      <c r="AB83" s="1"/>
      <c r="AC83" s="1"/>
      <c r="AD83" s="1"/>
      <c r="AE83" s="1"/>
      <c r="AF83" s="1"/>
      <c r="AG83" s="1"/>
      <c r="AH83" s="1"/>
      <c r="AI83" s="1"/>
    </row>
    <row r="84" spans="1:35" ht="18" x14ac:dyDescent="0.35">
      <c r="A84" s="2">
        <v>83</v>
      </c>
      <c r="B84" s="2">
        <f t="shared" ca="1" si="28"/>
        <v>5.2946345632650971</v>
      </c>
      <c r="C84" s="5">
        <f t="shared" ca="1" si="29"/>
        <v>233.14500602046857</v>
      </c>
      <c r="D84" s="2">
        <f t="shared" ca="1" si="23"/>
        <v>0.96709248581530027</v>
      </c>
      <c r="E84" s="2" t="str">
        <f ca="1">LOOKUP(RAND(),{0,0.4,0.7,0.9},{"DEPOSIT","WITHDRAWAL","INQUIRY","LOAN"})</f>
        <v>DEPOSIT</v>
      </c>
      <c r="F84" s="2" t="str">
        <f t="shared" ca="1" si="30"/>
        <v>t3</v>
      </c>
      <c r="G84" s="2">
        <f t="shared" ca="1" si="21"/>
        <v>1</v>
      </c>
      <c r="H84" s="2">
        <f t="shared" ca="1" si="31"/>
        <v>238.54531541570333</v>
      </c>
      <c r="I84" s="2">
        <f t="shared" ca="1" si="32"/>
        <v>233.40580960144638</v>
      </c>
      <c r="J84" s="2">
        <f t="shared" ca="1" si="38"/>
        <v>234.14500602046857</v>
      </c>
      <c r="K84" s="5">
        <f t="shared" ca="1" si="33"/>
        <v>233.14500602046857</v>
      </c>
      <c r="L84" s="2">
        <f t="shared" ca="1" si="22"/>
        <v>234.14500602046857</v>
      </c>
      <c r="M84" s="2">
        <f t="shared" ca="1" si="34"/>
        <v>0</v>
      </c>
      <c r="N84" s="2">
        <f t="shared" ca="1" si="24"/>
        <v>0</v>
      </c>
      <c r="O84" s="2">
        <f ca="1">COUNTIFS($C$2:C83,"&lt;="&amp;C84,$L$2:L83,"&gt;"&amp;C84)</f>
        <v>2</v>
      </c>
      <c r="P84" s="5">
        <f t="shared" ca="1" si="35"/>
        <v>0</v>
      </c>
      <c r="Q84" s="5">
        <f t="shared" ca="1" si="36"/>
        <v>0</v>
      </c>
      <c r="R84" s="5">
        <f t="shared" ca="1" si="37"/>
        <v>0</v>
      </c>
      <c r="S84" s="2">
        <f t="shared" ca="1" si="25"/>
        <v>0</v>
      </c>
      <c r="T84" s="4">
        <f t="shared" ca="1" si="26"/>
        <v>0</v>
      </c>
      <c r="U84">
        <f t="shared" ca="1" si="27"/>
        <v>1</v>
      </c>
      <c r="V84" s="2"/>
      <c r="W84" s="2"/>
      <c r="X84" s="2"/>
      <c r="Y84" s="2"/>
      <c r="Z84" s="2"/>
      <c r="AA84" s="2"/>
      <c r="AB84" s="1"/>
      <c r="AC84" s="1"/>
      <c r="AD84" s="1"/>
      <c r="AE84" s="1"/>
      <c r="AF84" s="1"/>
      <c r="AG84" s="1"/>
      <c r="AH84" s="1"/>
      <c r="AI84" s="1"/>
    </row>
    <row r="85" spans="1:35" ht="18" x14ac:dyDescent="0.35">
      <c r="A85" s="2">
        <v>84</v>
      </c>
      <c r="B85" s="2">
        <f t="shared" ca="1" si="28"/>
        <v>1.1674871493998569</v>
      </c>
      <c r="C85" s="5">
        <f t="shared" ca="1" si="29"/>
        <v>234.31249316986842</v>
      </c>
      <c r="D85" s="2">
        <f t="shared" ca="1" si="23"/>
        <v>0.72316859005452994</v>
      </c>
      <c r="E85" s="2" t="str">
        <f ca="1">LOOKUP(RAND(),{0,0.4,0.7,0.9},{"DEPOSIT","WITHDRAWAL","INQUIRY","LOAN"})</f>
        <v>WITHDRAWAL</v>
      </c>
      <c r="F85" s="2" t="str">
        <f t="shared" ca="1" si="30"/>
        <v>t2</v>
      </c>
      <c r="G85" s="2">
        <f t="shared" ca="1" si="21"/>
        <v>1.944677416445928</v>
      </c>
      <c r="H85" s="2">
        <f t="shared" ca="1" si="31"/>
        <v>238.54531541570333</v>
      </c>
      <c r="I85" s="2">
        <f t="shared" ca="1" si="32"/>
        <v>236.25717058631434</v>
      </c>
      <c r="J85" s="2">
        <f t="shared" ca="1" si="38"/>
        <v>234.14500602046857</v>
      </c>
      <c r="K85" s="5">
        <f t="shared" ca="1" si="33"/>
        <v>234.31249316986842</v>
      </c>
      <c r="L85" s="2">
        <f t="shared" ca="1" si="22"/>
        <v>236.25717058631434</v>
      </c>
      <c r="M85" s="2">
        <f t="shared" ca="1" si="34"/>
        <v>0</v>
      </c>
      <c r="N85" s="2">
        <f t="shared" ca="1" si="24"/>
        <v>0</v>
      </c>
      <c r="O85" s="2">
        <f ca="1">COUNTIFS($C$2:C84,"&lt;="&amp;C85,$L$2:L84,"&gt;"&amp;C85)</f>
        <v>1</v>
      </c>
      <c r="P85" s="5">
        <f t="shared" ca="1" si="35"/>
        <v>0</v>
      </c>
      <c r="Q85" s="5">
        <f t="shared" ca="1" si="36"/>
        <v>0</v>
      </c>
      <c r="R85" s="5">
        <f t="shared" ca="1" si="37"/>
        <v>0.16748714939984666</v>
      </c>
      <c r="S85" s="2">
        <f t="shared" ca="1" si="25"/>
        <v>0</v>
      </c>
      <c r="T85" s="4">
        <f t="shared" ca="1" si="26"/>
        <v>1.944677416445928</v>
      </c>
      <c r="U85">
        <f t="shared" ca="1" si="27"/>
        <v>0</v>
      </c>
      <c r="V85" s="2"/>
      <c r="W85" s="2"/>
      <c r="X85" s="2"/>
      <c r="Y85" s="2"/>
      <c r="Z85" s="2"/>
      <c r="AA85" s="2"/>
      <c r="AB85" s="1"/>
      <c r="AC85" s="1"/>
      <c r="AD85" s="1"/>
      <c r="AE85" s="1"/>
      <c r="AF85" s="1"/>
      <c r="AG85" s="1"/>
      <c r="AH85" s="1"/>
      <c r="AI85" s="1"/>
    </row>
    <row r="86" spans="1:35" ht="18" x14ac:dyDescent="0.35">
      <c r="A86" s="2">
        <v>85</v>
      </c>
      <c r="B86" s="2">
        <f t="shared" ca="1" si="28"/>
        <v>0.23894244022022454</v>
      </c>
      <c r="C86" s="5">
        <f t="shared" ca="1" si="29"/>
        <v>234.55143561008865</v>
      </c>
      <c r="D86" s="2">
        <f t="shared" ca="1" si="23"/>
        <v>0.30948582946648828</v>
      </c>
      <c r="E86" s="2" t="str">
        <f ca="1">LOOKUP(RAND(),{0,0.4,0.7,0.9},{"DEPOSIT","WITHDRAWAL","INQUIRY","LOAN"})</f>
        <v>LOAN</v>
      </c>
      <c r="F86" s="2" t="str">
        <f t="shared" ca="1" si="30"/>
        <v>t3</v>
      </c>
      <c r="G86" s="2">
        <f t="shared" ca="1" si="21"/>
        <v>14.074115677815094</v>
      </c>
      <c r="H86" s="2">
        <f t="shared" ca="1" si="31"/>
        <v>238.54531541570333</v>
      </c>
      <c r="I86" s="2">
        <f t="shared" ca="1" si="32"/>
        <v>236.25717058631434</v>
      </c>
      <c r="J86" s="2">
        <f t="shared" ca="1" si="38"/>
        <v>248.62555128790373</v>
      </c>
      <c r="K86" s="5">
        <f t="shared" ca="1" si="33"/>
        <v>234.55143561008865</v>
      </c>
      <c r="L86" s="2">
        <f t="shared" ca="1" si="22"/>
        <v>248.62555128790373</v>
      </c>
      <c r="M86" s="2">
        <f t="shared" ca="1" si="34"/>
        <v>0</v>
      </c>
      <c r="N86" s="2">
        <f t="shared" ca="1" si="24"/>
        <v>0</v>
      </c>
      <c r="O86" s="2">
        <f ca="1">COUNTIFS($C$2:C85,"&lt;="&amp;C86,$L$2:L85,"&gt;"&amp;C86)</f>
        <v>2</v>
      </c>
      <c r="P86" s="5">
        <f t="shared" ca="1" si="35"/>
        <v>0</v>
      </c>
      <c r="Q86" s="5">
        <f t="shared" ca="1" si="36"/>
        <v>0</v>
      </c>
      <c r="R86" s="5">
        <f t="shared" ca="1" si="37"/>
        <v>0</v>
      </c>
      <c r="S86" s="2">
        <f t="shared" ca="1" si="25"/>
        <v>0</v>
      </c>
      <c r="T86" s="4">
        <f t="shared" ca="1" si="26"/>
        <v>0</v>
      </c>
      <c r="U86">
        <f t="shared" ca="1" si="27"/>
        <v>14.074115677815094</v>
      </c>
      <c r="V86" s="2"/>
      <c r="W86" s="2"/>
      <c r="X86" s="2"/>
      <c r="Y86" s="2"/>
      <c r="Z86" s="2"/>
      <c r="AA86" s="2"/>
      <c r="AB86" s="1"/>
      <c r="AC86" s="1"/>
      <c r="AD86" s="1"/>
      <c r="AE86" s="1"/>
      <c r="AF86" s="1"/>
      <c r="AG86" s="1"/>
      <c r="AH86" s="1"/>
      <c r="AI86" s="1"/>
    </row>
    <row r="87" spans="1:35" ht="18" x14ac:dyDescent="0.35">
      <c r="A87" s="2">
        <v>86</v>
      </c>
      <c r="B87" s="2">
        <f t="shared" ca="1" si="28"/>
        <v>4.25941469339308E-2</v>
      </c>
      <c r="C87" s="5">
        <f t="shared" ca="1" si="29"/>
        <v>234.59402975702258</v>
      </c>
      <c r="D87" s="2">
        <f t="shared" ca="1" si="23"/>
        <v>0.67096988171205607</v>
      </c>
      <c r="E87" s="2" t="str">
        <f ca="1">LOOKUP(RAND(),{0,0.4,0.7,0.9},{"DEPOSIT","WITHDRAWAL","INQUIRY","LOAN"})</f>
        <v>WITHDRAWAL</v>
      </c>
      <c r="F87" s="2" t="str">
        <f t="shared" ca="1" si="30"/>
        <v>t2</v>
      </c>
      <c r="G87" s="2">
        <f t="shared" ca="1" si="21"/>
        <v>2.3941861721572533</v>
      </c>
      <c r="H87" s="2">
        <f t="shared" ca="1" si="31"/>
        <v>238.54531541570333</v>
      </c>
      <c r="I87" s="2">
        <f t="shared" ca="1" si="32"/>
        <v>238.65135675847159</v>
      </c>
      <c r="J87" s="2">
        <f t="shared" ca="1" si="38"/>
        <v>248.62555128790373</v>
      </c>
      <c r="K87" s="5">
        <f t="shared" ca="1" si="33"/>
        <v>236.25717058631434</v>
      </c>
      <c r="L87" s="2">
        <f t="shared" ca="1" si="22"/>
        <v>238.65135675847159</v>
      </c>
      <c r="M87" s="2">
        <f t="shared" ca="1" si="34"/>
        <v>1.6631408292917627</v>
      </c>
      <c r="N87" s="2">
        <f t="shared" ca="1" si="24"/>
        <v>1</v>
      </c>
      <c r="O87" s="2">
        <f ca="1">COUNTIFS($C$2:C86,"&lt;="&amp;C87,$L$2:L86,"&gt;"&amp;C87)</f>
        <v>3</v>
      </c>
      <c r="P87" s="5">
        <f t="shared" ca="1" si="35"/>
        <v>0</v>
      </c>
      <c r="Q87" s="5">
        <f t="shared" ca="1" si="36"/>
        <v>0</v>
      </c>
      <c r="R87" s="5">
        <f t="shared" ca="1" si="37"/>
        <v>0</v>
      </c>
      <c r="S87" s="2">
        <f t="shared" ca="1" si="25"/>
        <v>0</v>
      </c>
      <c r="T87" s="4">
        <f t="shared" ca="1" si="26"/>
        <v>2.3941861721572533</v>
      </c>
      <c r="U87">
        <f t="shared" ca="1" si="27"/>
        <v>0</v>
      </c>
      <c r="V87" s="2"/>
      <c r="W87" s="2"/>
      <c r="X87" s="2"/>
      <c r="Y87" s="2"/>
      <c r="Z87" s="2"/>
      <c r="AA87" s="2"/>
      <c r="AB87" s="1"/>
      <c r="AC87" s="1"/>
      <c r="AD87" s="1"/>
      <c r="AE87" s="1"/>
      <c r="AF87" s="1"/>
      <c r="AG87" s="1"/>
      <c r="AH87" s="1"/>
      <c r="AI87" s="1"/>
    </row>
    <row r="88" spans="1:35" ht="18" x14ac:dyDescent="0.35">
      <c r="A88" s="2">
        <v>87</v>
      </c>
      <c r="B88" s="2">
        <f t="shared" ca="1" si="28"/>
        <v>0.78316668107869425</v>
      </c>
      <c r="C88" s="5">
        <f t="shared" ca="1" si="29"/>
        <v>235.37719643810127</v>
      </c>
      <c r="D88" s="2">
        <f t="shared" ca="1" si="23"/>
        <v>0.47172057930563238</v>
      </c>
      <c r="E88" s="2" t="str">
        <f ca="1">LOOKUP(RAND(),{0,0.4,0.7,0.9},{"DEPOSIT","WITHDRAWAL","INQUIRY","LOAN"})</f>
        <v>INQUIRY</v>
      </c>
      <c r="F88" s="2" t="str">
        <f t="shared" ca="1" si="30"/>
        <v>t1</v>
      </c>
      <c r="G88" s="2">
        <f t="shared" ca="1" si="21"/>
        <v>3.0054738467606548</v>
      </c>
      <c r="H88" s="2">
        <f t="shared" ca="1" si="31"/>
        <v>241.55078926246398</v>
      </c>
      <c r="I88" s="2">
        <f t="shared" ca="1" si="32"/>
        <v>238.65135675847159</v>
      </c>
      <c r="J88" s="2">
        <f t="shared" ca="1" si="38"/>
        <v>248.62555128790373</v>
      </c>
      <c r="K88" s="5">
        <f t="shared" ca="1" si="33"/>
        <v>238.54531541570333</v>
      </c>
      <c r="L88" s="2">
        <f t="shared" ca="1" si="22"/>
        <v>241.55078926246398</v>
      </c>
      <c r="M88" s="2">
        <f t="shared" ca="1" si="34"/>
        <v>3.1681189776020631</v>
      </c>
      <c r="N88" s="2">
        <f t="shared" ca="1" si="24"/>
        <v>1</v>
      </c>
      <c r="O88" s="2">
        <f ca="1">COUNTIFS($C$2:C87,"&lt;="&amp;C88,$L$2:L87,"&gt;"&amp;C88)</f>
        <v>4</v>
      </c>
      <c r="P88" s="5">
        <f t="shared" ca="1" si="35"/>
        <v>0</v>
      </c>
      <c r="Q88" s="5">
        <f t="shared" ca="1" si="36"/>
        <v>0</v>
      </c>
      <c r="R88" s="5">
        <f t="shared" ca="1" si="37"/>
        <v>0</v>
      </c>
      <c r="S88" s="2">
        <f t="shared" ca="1" si="25"/>
        <v>3.0054738467606548</v>
      </c>
      <c r="T88" s="4">
        <f t="shared" ca="1" si="26"/>
        <v>0</v>
      </c>
      <c r="U88">
        <f t="shared" ca="1" si="27"/>
        <v>0</v>
      </c>
      <c r="V88" s="2"/>
      <c r="W88" s="2"/>
      <c r="X88" s="2"/>
      <c r="Y88" s="2"/>
      <c r="Z88" s="2"/>
      <c r="AA88" s="2"/>
      <c r="AB88" s="1"/>
      <c r="AC88" s="1"/>
      <c r="AD88" s="1"/>
      <c r="AE88" s="1"/>
      <c r="AF88" s="1"/>
      <c r="AG88" s="1"/>
      <c r="AH88" s="1"/>
      <c r="AI88" s="1"/>
    </row>
    <row r="89" spans="1:35" ht="18" x14ac:dyDescent="0.35">
      <c r="A89" s="2">
        <v>88</v>
      </c>
      <c r="B89" s="2">
        <f t="shared" ca="1" si="28"/>
        <v>2.7042531984346843</v>
      </c>
      <c r="C89" s="5">
        <f t="shared" ca="1" si="29"/>
        <v>238.08144963653595</v>
      </c>
      <c r="D89" s="2">
        <f t="shared" ca="1" si="23"/>
        <v>0.63878085044511224</v>
      </c>
      <c r="E89" s="2" t="str">
        <f ca="1">LOOKUP(RAND(),{0,0.4,0.7,0.9},{"DEPOSIT","WITHDRAWAL","INQUIRY","LOAN"})</f>
        <v>WITHDRAWAL</v>
      </c>
      <c r="F89" s="2" t="str">
        <f t="shared" ca="1" si="30"/>
        <v>t2</v>
      </c>
      <c r="G89" s="2">
        <f t="shared" ca="1" si="21"/>
        <v>2.6891630428663409</v>
      </c>
      <c r="H89" s="2">
        <f t="shared" ca="1" si="31"/>
        <v>241.55078926246398</v>
      </c>
      <c r="I89" s="2">
        <f t="shared" ca="1" si="32"/>
        <v>241.34051980133793</v>
      </c>
      <c r="J89" s="2">
        <f t="shared" ca="1" si="38"/>
        <v>248.62555128790373</v>
      </c>
      <c r="K89" s="5">
        <f t="shared" ca="1" si="33"/>
        <v>238.65135675847159</v>
      </c>
      <c r="L89" s="2">
        <f t="shared" ca="1" si="22"/>
        <v>241.34051980133793</v>
      </c>
      <c r="M89" s="2">
        <f t="shared" ca="1" si="34"/>
        <v>0.56990712193564264</v>
      </c>
      <c r="N89" s="2">
        <f t="shared" ca="1" si="24"/>
        <v>1</v>
      </c>
      <c r="O89" s="2">
        <f ca="1">COUNTIFS($C$2:C88,"&lt;="&amp;C89,$L$2:L88,"&gt;"&amp;C89)</f>
        <v>4</v>
      </c>
      <c r="P89" s="5">
        <f t="shared" ca="1" si="35"/>
        <v>0</v>
      </c>
      <c r="Q89" s="5">
        <f t="shared" ca="1" si="36"/>
        <v>0</v>
      </c>
      <c r="R89" s="5">
        <f t="shared" ca="1" si="37"/>
        <v>0</v>
      </c>
      <c r="S89" s="2">
        <f t="shared" ca="1" si="25"/>
        <v>0</v>
      </c>
      <c r="T89" s="4">
        <f t="shared" ca="1" si="26"/>
        <v>2.6891630428663409</v>
      </c>
      <c r="U89">
        <f t="shared" ca="1" si="27"/>
        <v>0</v>
      </c>
      <c r="V89" s="2"/>
      <c r="W89" s="2"/>
      <c r="X89" s="2"/>
      <c r="Y89" s="2"/>
      <c r="Z89" s="2"/>
      <c r="AA89" s="2"/>
      <c r="AB89" s="1"/>
      <c r="AC89" s="1"/>
      <c r="AD89" s="1"/>
      <c r="AE89" s="1"/>
      <c r="AF89" s="1"/>
      <c r="AG89" s="1"/>
      <c r="AH89" s="1"/>
      <c r="AI89" s="1"/>
    </row>
    <row r="90" spans="1:35" ht="18" x14ac:dyDescent="0.35">
      <c r="A90" s="2">
        <v>89</v>
      </c>
      <c r="B90" s="2">
        <f t="shared" ca="1" si="28"/>
        <v>0.5935729513384822</v>
      </c>
      <c r="C90" s="5">
        <f t="shared" ca="1" si="29"/>
        <v>238.67502258787442</v>
      </c>
      <c r="D90" s="2">
        <f t="shared" ca="1" si="23"/>
        <v>0.55924818417456768</v>
      </c>
      <c r="E90" s="2" t="str">
        <f ca="1">LOOKUP(RAND(),{0,0.4,0.7,0.9},{"DEPOSIT","WITHDRAWAL","INQUIRY","LOAN"})</f>
        <v>WITHDRAWAL</v>
      </c>
      <c r="F90" s="2" t="str">
        <f t="shared" ca="1" si="30"/>
        <v>t2</v>
      </c>
      <c r="G90" s="2">
        <f t="shared" ca="1" si="21"/>
        <v>3.486971553066617</v>
      </c>
      <c r="H90" s="2">
        <f t="shared" ca="1" si="31"/>
        <v>241.55078926246398</v>
      </c>
      <c r="I90" s="2">
        <f t="shared" ca="1" si="32"/>
        <v>244.82749135440454</v>
      </c>
      <c r="J90" s="2">
        <f t="shared" ca="1" si="38"/>
        <v>248.62555128790373</v>
      </c>
      <c r="K90" s="5">
        <f t="shared" ca="1" si="33"/>
        <v>241.34051980133793</v>
      </c>
      <c r="L90" s="2">
        <f t="shared" ca="1" si="22"/>
        <v>244.82749135440454</v>
      </c>
      <c r="M90" s="2">
        <f t="shared" ca="1" si="34"/>
        <v>2.6654972134635102</v>
      </c>
      <c r="N90" s="2">
        <f t="shared" ca="1" si="24"/>
        <v>1</v>
      </c>
      <c r="O90" s="2">
        <f ca="1">COUNTIFS($C$2:C89,"&lt;="&amp;C90,$L$2:L89,"&gt;"&amp;C90)</f>
        <v>3</v>
      </c>
      <c r="P90" s="5">
        <f t="shared" ca="1" si="35"/>
        <v>0</v>
      </c>
      <c r="Q90" s="5">
        <f t="shared" ca="1" si="36"/>
        <v>0</v>
      </c>
      <c r="R90" s="5">
        <f t="shared" ca="1" si="37"/>
        <v>0</v>
      </c>
      <c r="S90" s="2">
        <f t="shared" ca="1" si="25"/>
        <v>0</v>
      </c>
      <c r="T90" s="4">
        <f t="shared" ca="1" si="26"/>
        <v>3.486971553066617</v>
      </c>
      <c r="U90">
        <f t="shared" ca="1" si="27"/>
        <v>0</v>
      </c>
      <c r="V90" s="2"/>
      <c r="W90" s="2"/>
      <c r="X90" s="2"/>
      <c r="Y90" s="2"/>
      <c r="Z90" s="2"/>
      <c r="AA90" s="2"/>
      <c r="AB90" s="1"/>
      <c r="AC90" s="1"/>
      <c r="AD90" s="1"/>
      <c r="AE90" s="1"/>
      <c r="AF90" s="1"/>
      <c r="AG90" s="1"/>
      <c r="AH90" s="1"/>
      <c r="AI90" s="1"/>
    </row>
    <row r="91" spans="1:35" ht="18" x14ac:dyDescent="0.35">
      <c r="A91" s="2">
        <v>90</v>
      </c>
      <c r="B91" s="2">
        <f t="shared" ca="1" si="28"/>
        <v>0.81631842026185153</v>
      </c>
      <c r="C91" s="5">
        <f t="shared" ca="1" si="29"/>
        <v>239.49134100813629</v>
      </c>
      <c r="D91" s="2">
        <f t="shared" ca="1" si="23"/>
        <v>0.7812773043116561</v>
      </c>
      <c r="E91" s="2" t="str">
        <f ca="1">LOOKUP(RAND(),{0,0.4,0.7,0.9},{"DEPOSIT","WITHDRAWAL","INQUIRY","LOAN"})</f>
        <v>WITHDRAWAL</v>
      </c>
      <c r="F91" s="2" t="str">
        <f t="shared" ca="1" si="30"/>
        <v>t1</v>
      </c>
      <c r="G91" s="2">
        <f t="shared" ca="1" si="21"/>
        <v>1.4809507741399572</v>
      </c>
      <c r="H91" s="2">
        <f t="shared" ca="1" si="31"/>
        <v>243.03174003660394</v>
      </c>
      <c r="I91" s="2">
        <f t="shared" ca="1" si="32"/>
        <v>244.82749135440454</v>
      </c>
      <c r="J91" s="2">
        <f t="shared" ca="1" si="38"/>
        <v>248.62555128790373</v>
      </c>
      <c r="K91" s="5">
        <f t="shared" ca="1" si="33"/>
        <v>241.55078926246398</v>
      </c>
      <c r="L91" s="2">
        <f t="shared" ca="1" si="22"/>
        <v>243.03174003660394</v>
      </c>
      <c r="M91" s="2">
        <f t="shared" ca="1" si="34"/>
        <v>2.0594482543276911</v>
      </c>
      <c r="N91" s="2">
        <f t="shared" ca="1" si="24"/>
        <v>1</v>
      </c>
      <c r="O91" s="2">
        <f ca="1">COUNTIFS($C$2:C90,"&lt;="&amp;C91,$L$2:L90,"&gt;"&amp;C91)</f>
        <v>4</v>
      </c>
      <c r="P91" s="5">
        <f t="shared" ca="1" si="35"/>
        <v>0</v>
      </c>
      <c r="Q91" s="5">
        <f t="shared" ca="1" si="36"/>
        <v>0</v>
      </c>
      <c r="R91" s="5">
        <f t="shared" ca="1" si="37"/>
        <v>0</v>
      </c>
      <c r="S91" s="2">
        <f t="shared" ca="1" si="25"/>
        <v>1.4809507741399572</v>
      </c>
      <c r="T91" s="4">
        <f t="shared" ca="1" si="26"/>
        <v>0</v>
      </c>
      <c r="U91">
        <f t="shared" ca="1" si="27"/>
        <v>0</v>
      </c>
      <c r="V91" s="2"/>
      <c r="W91" s="2"/>
      <c r="X91" s="2"/>
      <c r="Y91" s="2"/>
      <c r="Z91" s="2"/>
      <c r="AA91" s="2"/>
      <c r="AB91" s="1"/>
      <c r="AC91" s="1"/>
      <c r="AD91" s="1"/>
      <c r="AE91" s="1"/>
      <c r="AF91" s="1"/>
      <c r="AG91" s="1"/>
      <c r="AH91" s="1"/>
      <c r="AI91" s="1"/>
    </row>
    <row r="92" spans="1:35" ht="18" x14ac:dyDescent="0.35">
      <c r="A92" s="2">
        <v>91</v>
      </c>
      <c r="B92" s="2">
        <f t="shared" ca="1" si="28"/>
        <v>1.902743297805064</v>
      </c>
      <c r="C92" s="5">
        <f t="shared" ca="1" si="29"/>
        <v>241.39408430594136</v>
      </c>
      <c r="D92" s="2">
        <f t="shared" ca="1" si="23"/>
        <v>0.29550949832971607</v>
      </c>
      <c r="E92" s="2" t="str">
        <f ca="1">LOOKUP(RAND(),{0,0.4,0.7,0.9},{"DEPOSIT","WITHDRAWAL","INQUIRY","LOAN"})</f>
        <v>DEPOSIT</v>
      </c>
      <c r="F92" s="2" t="str">
        <f t="shared" ca="1" si="30"/>
        <v>t1</v>
      </c>
      <c r="G92" s="2">
        <f t="shared" ca="1" si="21"/>
        <v>6.0952714970239867</v>
      </c>
      <c r="H92" s="2">
        <f t="shared" ca="1" si="31"/>
        <v>249.12701153362792</v>
      </c>
      <c r="I92" s="2">
        <f t="shared" ca="1" si="32"/>
        <v>244.82749135440454</v>
      </c>
      <c r="J92" s="2">
        <f t="shared" ca="1" si="38"/>
        <v>248.62555128790373</v>
      </c>
      <c r="K92" s="5">
        <f t="shared" ca="1" si="33"/>
        <v>243.03174003660394</v>
      </c>
      <c r="L92" s="2">
        <f t="shared" ca="1" si="22"/>
        <v>249.12701153362792</v>
      </c>
      <c r="M92" s="2">
        <f t="shared" ca="1" si="34"/>
        <v>1.6376557306625728</v>
      </c>
      <c r="N92" s="2">
        <f t="shared" ca="1" si="24"/>
        <v>1</v>
      </c>
      <c r="O92" s="2">
        <f ca="1">COUNTIFS($C$2:C91,"&lt;="&amp;C92,$L$2:L91,"&gt;"&amp;C92)</f>
        <v>4</v>
      </c>
      <c r="P92" s="5">
        <f t="shared" ca="1" si="35"/>
        <v>0</v>
      </c>
      <c r="Q92" s="5">
        <f t="shared" ca="1" si="36"/>
        <v>0</v>
      </c>
      <c r="R92" s="5">
        <f t="shared" ca="1" si="37"/>
        <v>0</v>
      </c>
      <c r="S92" s="2">
        <f t="shared" ca="1" si="25"/>
        <v>6.0952714970239867</v>
      </c>
      <c r="T92" s="4">
        <f t="shared" ca="1" si="26"/>
        <v>0</v>
      </c>
      <c r="U92">
        <f t="shared" ca="1" si="27"/>
        <v>0</v>
      </c>
      <c r="V92" s="2"/>
      <c r="W92" s="2"/>
      <c r="X92" s="2"/>
      <c r="Y92" s="2"/>
      <c r="Z92" s="2"/>
      <c r="AA92" s="2"/>
      <c r="AB92" s="1"/>
      <c r="AC92" s="1"/>
      <c r="AD92" s="1"/>
      <c r="AE92" s="1"/>
      <c r="AF92" s="1"/>
      <c r="AG92" s="1"/>
      <c r="AH92" s="1"/>
      <c r="AI92" s="1"/>
    </row>
    <row r="93" spans="1:35" ht="18" x14ac:dyDescent="0.35">
      <c r="A93" s="2">
        <v>92</v>
      </c>
      <c r="B93" s="2">
        <f t="shared" ca="1" si="28"/>
        <v>0.50027254429138757</v>
      </c>
      <c r="C93" s="5">
        <f t="shared" ca="1" si="29"/>
        <v>241.89435685023275</v>
      </c>
      <c r="D93" s="2">
        <f t="shared" ca="1" si="23"/>
        <v>0.56540829678227777</v>
      </c>
      <c r="E93" s="2" t="str">
        <f ca="1">LOOKUP(RAND(),{0,0.4,0.7,0.9},{"DEPOSIT","WITHDRAWAL","INQUIRY","LOAN"})</f>
        <v>DEPOSIT</v>
      </c>
      <c r="F93" s="2" t="str">
        <f t="shared" ca="1" si="30"/>
        <v>t2</v>
      </c>
      <c r="G93" s="2">
        <f t="shared" ca="1" si="21"/>
        <v>2.851035798243549</v>
      </c>
      <c r="H93" s="2">
        <f t="shared" ca="1" si="31"/>
        <v>249.12701153362792</v>
      </c>
      <c r="I93" s="2">
        <f t="shared" ca="1" si="32"/>
        <v>247.67852715264809</v>
      </c>
      <c r="J93" s="2">
        <f t="shared" ca="1" si="38"/>
        <v>248.62555128790373</v>
      </c>
      <c r="K93" s="5">
        <f t="shared" ca="1" si="33"/>
        <v>244.82749135440454</v>
      </c>
      <c r="L93" s="2">
        <f t="shared" ca="1" si="22"/>
        <v>247.67852715264809</v>
      </c>
      <c r="M93" s="2">
        <f t="shared" ca="1" si="34"/>
        <v>2.9331345041717896</v>
      </c>
      <c r="N93" s="2">
        <f t="shared" ca="1" si="24"/>
        <v>1</v>
      </c>
      <c r="O93" s="2">
        <f ca="1">COUNTIFS($C$2:C92,"&lt;="&amp;C93,$L$2:L92,"&gt;"&amp;C93)</f>
        <v>4</v>
      </c>
      <c r="P93" s="5">
        <f t="shared" ca="1" si="35"/>
        <v>0</v>
      </c>
      <c r="Q93" s="5">
        <f t="shared" ca="1" si="36"/>
        <v>0</v>
      </c>
      <c r="R93" s="5">
        <f t="shared" ca="1" si="37"/>
        <v>0</v>
      </c>
      <c r="S93" s="2">
        <f t="shared" ca="1" si="25"/>
        <v>0</v>
      </c>
      <c r="T93" s="4">
        <f t="shared" ca="1" si="26"/>
        <v>2.851035798243549</v>
      </c>
      <c r="U93">
        <f t="shared" ca="1" si="27"/>
        <v>0</v>
      </c>
      <c r="V93" s="2"/>
      <c r="W93" s="2"/>
      <c r="X93" s="2"/>
      <c r="Y93" s="2"/>
      <c r="Z93" s="2"/>
      <c r="AA93" s="2"/>
      <c r="AB93" s="1"/>
      <c r="AC93" s="1"/>
      <c r="AD93" s="1"/>
      <c r="AE93" s="1"/>
      <c r="AF93" s="1"/>
      <c r="AG93" s="1"/>
      <c r="AH93" s="1"/>
      <c r="AI93" s="1"/>
    </row>
    <row r="94" spans="1:35" ht="18" x14ac:dyDescent="0.35">
      <c r="A94" s="2">
        <v>93</v>
      </c>
      <c r="B94" s="2">
        <f t="shared" ca="1" si="28"/>
        <v>2.0372677220840067</v>
      </c>
      <c r="C94" s="5">
        <f t="shared" ca="1" si="29"/>
        <v>243.93162457231676</v>
      </c>
      <c r="D94" s="2">
        <f t="shared" ca="1" si="23"/>
        <v>5.8853709648581942E-3</v>
      </c>
      <c r="E94" s="2" t="str">
        <f ca="1">LOOKUP(RAND(),{0,0.4,0.7,0.9},{"DEPOSIT","WITHDRAWAL","INQUIRY","LOAN"})</f>
        <v>DEPOSIT</v>
      </c>
      <c r="F94" s="2" t="str">
        <f t="shared" ca="1" si="30"/>
        <v>t2</v>
      </c>
      <c r="G94" s="2">
        <f t="shared" ca="1" si="21"/>
        <v>25.676427522983573</v>
      </c>
      <c r="H94" s="2">
        <f t="shared" ca="1" si="31"/>
        <v>249.12701153362792</v>
      </c>
      <c r="I94" s="2">
        <f t="shared" ca="1" si="32"/>
        <v>273.35495467563169</v>
      </c>
      <c r="J94" s="2">
        <f t="shared" ca="1" si="38"/>
        <v>248.62555128790373</v>
      </c>
      <c r="K94" s="5">
        <f t="shared" ca="1" si="33"/>
        <v>247.67852715264809</v>
      </c>
      <c r="L94" s="2">
        <f t="shared" ca="1" si="22"/>
        <v>273.35495467563169</v>
      </c>
      <c r="M94" s="2">
        <f t="shared" ca="1" si="34"/>
        <v>3.746902580331323</v>
      </c>
      <c r="N94" s="2">
        <f t="shared" ca="1" si="24"/>
        <v>1</v>
      </c>
      <c r="O94" s="2">
        <f ca="1">COUNTIFS($C$2:C93,"&lt;="&amp;C94,$L$2:L93,"&gt;"&amp;C94)</f>
        <v>4</v>
      </c>
      <c r="P94" s="5">
        <f t="shared" ca="1" si="35"/>
        <v>0</v>
      </c>
      <c r="Q94" s="5">
        <f t="shared" ca="1" si="36"/>
        <v>0</v>
      </c>
      <c r="R94" s="5">
        <f t="shared" ca="1" si="37"/>
        <v>0</v>
      </c>
      <c r="S94" s="2">
        <f t="shared" ca="1" si="25"/>
        <v>0</v>
      </c>
      <c r="T94" s="4">
        <f t="shared" ca="1" si="26"/>
        <v>25.676427522983573</v>
      </c>
      <c r="U94">
        <f t="shared" ca="1" si="27"/>
        <v>0</v>
      </c>
      <c r="V94" s="2"/>
      <c r="W94" s="2"/>
      <c r="X94" s="2"/>
      <c r="Y94" s="2"/>
      <c r="Z94" s="2"/>
      <c r="AA94" s="2"/>
      <c r="AB94" s="1"/>
      <c r="AC94" s="1"/>
      <c r="AD94" s="1"/>
      <c r="AE94" s="1"/>
      <c r="AF94" s="1"/>
      <c r="AG94" s="1"/>
      <c r="AH94" s="1"/>
      <c r="AI94" s="1"/>
    </row>
    <row r="95" spans="1:35" ht="18" x14ac:dyDescent="0.35">
      <c r="A95" s="2">
        <v>94</v>
      </c>
      <c r="B95" s="2">
        <f t="shared" ca="1" si="28"/>
        <v>3.8170761584191566</v>
      </c>
      <c r="C95" s="5">
        <f t="shared" ca="1" si="29"/>
        <v>247.74870073073592</v>
      </c>
      <c r="D95" s="2">
        <f t="shared" ca="1" si="23"/>
        <v>0.35138699301827903</v>
      </c>
      <c r="E95" s="2" t="str">
        <f ca="1">LOOKUP(RAND(),{0,0.4,0.7,0.9},{"DEPOSIT","WITHDRAWAL","INQUIRY","LOAN"})</f>
        <v>INQUIRY</v>
      </c>
      <c r="F95" s="2" t="str">
        <f t="shared" ca="1" si="30"/>
        <v>t3</v>
      </c>
      <c r="G95" s="2">
        <f t="shared" ca="1" si="21"/>
        <v>4.1834684746405451</v>
      </c>
      <c r="H95" s="2">
        <f t="shared" ca="1" si="31"/>
        <v>249.12701153362792</v>
      </c>
      <c r="I95" s="2">
        <f t="shared" ca="1" si="32"/>
        <v>273.35495467563169</v>
      </c>
      <c r="J95" s="2">
        <f t="shared" ca="1" si="38"/>
        <v>252.80901976254427</v>
      </c>
      <c r="K95" s="5">
        <f t="shared" ca="1" si="33"/>
        <v>248.62555128790373</v>
      </c>
      <c r="L95" s="2">
        <f t="shared" ca="1" si="22"/>
        <v>252.80901976254427</v>
      </c>
      <c r="M95" s="2">
        <f t="shared" ca="1" si="34"/>
        <v>0.87685055716781335</v>
      </c>
      <c r="N95" s="2">
        <f t="shared" ca="1" si="24"/>
        <v>1</v>
      </c>
      <c r="O95" s="2">
        <f ca="1">COUNTIFS($C$2:C94,"&lt;="&amp;C95,$L$2:L94,"&gt;"&amp;C95)</f>
        <v>3</v>
      </c>
      <c r="P95" s="5">
        <f t="shared" ca="1" si="35"/>
        <v>0</v>
      </c>
      <c r="Q95" s="5">
        <f t="shared" ca="1" si="36"/>
        <v>0</v>
      </c>
      <c r="R95" s="5">
        <f t="shared" ca="1" si="37"/>
        <v>0</v>
      </c>
      <c r="S95" s="2">
        <f t="shared" ca="1" si="25"/>
        <v>0</v>
      </c>
      <c r="T95" s="4">
        <f t="shared" ca="1" si="26"/>
        <v>0</v>
      </c>
      <c r="U95">
        <f t="shared" ca="1" si="27"/>
        <v>4.1834684746405451</v>
      </c>
      <c r="V95" s="2"/>
      <c r="W95" s="2"/>
      <c r="X95" s="2"/>
      <c r="Y95" s="2"/>
      <c r="Z95" s="2"/>
      <c r="AA95" s="2"/>
      <c r="AB95" s="1"/>
      <c r="AC95" s="1"/>
      <c r="AD95" s="1"/>
      <c r="AE95" s="1"/>
      <c r="AF95" s="1"/>
      <c r="AG95" s="1"/>
      <c r="AH95" s="1"/>
      <c r="AI95" s="1"/>
    </row>
    <row r="96" spans="1:35" ht="18" x14ac:dyDescent="0.35">
      <c r="A96" s="2">
        <v>95</v>
      </c>
      <c r="B96" s="2">
        <f t="shared" ca="1" si="28"/>
        <v>1.934957241185594</v>
      </c>
      <c r="C96" s="5">
        <f t="shared" ca="1" si="29"/>
        <v>249.68365797192152</v>
      </c>
      <c r="D96" s="2">
        <f t="shared" ca="1" si="23"/>
        <v>0.14078634220929875</v>
      </c>
      <c r="E96" s="2" t="str">
        <f ca="1">LOOKUP(RAND(),{0,0.4,0.7,0.9},{"DEPOSIT","WITHDRAWAL","INQUIRY","LOAN"})</f>
        <v>DEPOSIT</v>
      </c>
      <c r="F96" s="2" t="str">
        <f t="shared" ca="1" si="30"/>
        <v>t1</v>
      </c>
      <c r="G96" s="2">
        <f t="shared" ca="1" si="21"/>
        <v>9.8025592065877145</v>
      </c>
      <c r="H96" s="2">
        <f t="shared" ca="1" si="31"/>
        <v>259.48621717850921</v>
      </c>
      <c r="I96" s="2">
        <f t="shared" ca="1" si="32"/>
        <v>273.35495467563169</v>
      </c>
      <c r="J96" s="2">
        <f t="shared" ca="1" si="38"/>
        <v>252.80901976254427</v>
      </c>
      <c r="K96" s="5">
        <f t="shared" ca="1" si="33"/>
        <v>249.68365797192152</v>
      </c>
      <c r="L96" s="2">
        <f t="shared" ca="1" si="22"/>
        <v>259.48621717850921</v>
      </c>
      <c r="M96" s="2">
        <f t="shared" ca="1" si="34"/>
        <v>0</v>
      </c>
      <c r="N96" s="2">
        <f t="shared" ca="1" si="24"/>
        <v>0</v>
      </c>
      <c r="O96" s="2">
        <f ca="1">COUNTIFS($C$2:C95,"&lt;="&amp;C96,$L$2:L95,"&gt;"&amp;C96)</f>
        <v>2</v>
      </c>
      <c r="P96" s="5">
        <f t="shared" ca="1" si="35"/>
        <v>0</v>
      </c>
      <c r="Q96" s="5">
        <f t="shared" ca="1" si="36"/>
        <v>0</v>
      </c>
      <c r="R96" s="5">
        <f t="shared" ca="1" si="37"/>
        <v>0</v>
      </c>
      <c r="S96" s="2">
        <f t="shared" ca="1" si="25"/>
        <v>9.8025592065877145</v>
      </c>
      <c r="T96" s="4">
        <f t="shared" ca="1" si="26"/>
        <v>0</v>
      </c>
      <c r="U96">
        <f t="shared" ca="1" si="27"/>
        <v>0</v>
      </c>
      <c r="V96" s="2"/>
      <c r="W96" s="2"/>
      <c r="X96" s="2"/>
      <c r="Y96" s="2"/>
      <c r="Z96" s="2"/>
      <c r="AA96" s="2"/>
      <c r="AB96" s="1"/>
      <c r="AC96" s="1"/>
      <c r="AD96" s="1"/>
      <c r="AE96" s="1"/>
      <c r="AF96" s="1"/>
      <c r="AG96" s="1"/>
      <c r="AH96" s="1"/>
      <c r="AI96" s="1"/>
    </row>
    <row r="97" spans="1:35" ht="18" x14ac:dyDescent="0.35">
      <c r="A97" s="2">
        <v>96</v>
      </c>
      <c r="B97" s="2">
        <f t="shared" ca="1" si="28"/>
        <v>1.4595501545697844</v>
      </c>
      <c r="C97" s="5">
        <f t="shared" ca="1" si="29"/>
        <v>251.14320812649132</v>
      </c>
      <c r="D97" s="2">
        <f t="shared" ca="1" si="23"/>
        <v>0.61020950617729908</v>
      </c>
      <c r="E97" s="2" t="str">
        <f ca="1">LOOKUP(RAND(),{0,0.4,0.7,0.9},{"DEPOSIT","WITHDRAWAL","INQUIRY","LOAN"})</f>
        <v>INQUIRY</v>
      </c>
      <c r="F97" s="2" t="str">
        <f t="shared" ca="1" si="30"/>
        <v>t3</v>
      </c>
      <c r="G97" s="2">
        <f t="shared" ca="1" si="21"/>
        <v>1.9758117121260164</v>
      </c>
      <c r="H97" s="2">
        <f t="shared" ca="1" si="31"/>
        <v>259.48621717850921</v>
      </c>
      <c r="I97" s="2">
        <f t="shared" ca="1" si="32"/>
        <v>273.35495467563169</v>
      </c>
      <c r="J97" s="2">
        <f t="shared" ca="1" si="38"/>
        <v>254.78483147467028</v>
      </c>
      <c r="K97" s="5">
        <f t="shared" ca="1" si="33"/>
        <v>252.80901976254427</v>
      </c>
      <c r="L97" s="2">
        <f t="shared" ca="1" si="22"/>
        <v>254.78483147467028</v>
      </c>
      <c r="M97" s="2">
        <f t="shared" ca="1" si="34"/>
        <v>1.6658116360529505</v>
      </c>
      <c r="N97" s="2">
        <f t="shared" ca="1" si="24"/>
        <v>1</v>
      </c>
      <c r="O97" s="2">
        <f ca="1">COUNTIFS($C$2:C96,"&lt;="&amp;C97,$L$2:L96,"&gt;"&amp;C97)</f>
        <v>3</v>
      </c>
      <c r="P97" s="5">
        <f t="shared" ca="1" si="35"/>
        <v>0</v>
      </c>
      <c r="Q97" s="5">
        <f t="shared" ca="1" si="36"/>
        <v>0</v>
      </c>
      <c r="R97" s="5">
        <f t="shared" ca="1" si="37"/>
        <v>0</v>
      </c>
      <c r="S97" s="2">
        <f t="shared" ca="1" si="25"/>
        <v>0</v>
      </c>
      <c r="T97" s="4">
        <f t="shared" ca="1" si="26"/>
        <v>0</v>
      </c>
      <c r="U97">
        <f t="shared" ca="1" si="27"/>
        <v>1.9758117121260164</v>
      </c>
      <c r="V97" s="2"/>
      <c r="W97" s="2"/>
      <c r="X97" s="2"/>
      <c r="Y97" s="2"/>
      <c r="Z97" s="2"/>
      <c r="AA97" s="2"/>
      <c r="AB97" s="1"/>
      <c r="AC97" s="1"/>
      <c r="AD97" s="1"/>
      <c r="AE97" s="1"/>
      <c r="AF97" s="1"/>
      <c r="AG97" s="1"/>
      <c r="AH97" s="1"/>
      <c r="AI97" s="1"/>
    </row>
    <row r="98" spans="1:35" ht="18" x14ac:dyDescent="0.35">
      <c r="A98" s="2">
        <v>97</v>
      </c>
      <c r="B98" s="2">
        <f t="shared" ca="1" si="28"/>
        <v>0.24482628963160535</v>
      </c>
      <c r="C98" s="5">
        <f t="shared" ca="1" si="29"/>
        <v>251.38803441612293</v>
      </c>
      <c r="D98" s="2">
        <f t="shared" ca="1" si="23"/>
        <v>0.42597868987890342</v>
      </c>
      <c r="E98" s="2" t="str">
        <f ca="1">LOOKUP(RAND(),{0,0.4,0.7,0.9},{"DEPOSIT","WITHDRAWAL","INQUIRY","LOAN"})</f>
        <v>DEPOSIT</v>
      </c>
      <c r="F98" s="2" t="str">
        <f t="shared" ca="1" si="30"/>
        <v>t3</v>
      </c>
      <c r="G98" s="2">
        <f t="shared" ref="G98:G129" ca="1" si="39">IF(E98="DEPOSIT",MAX(1,-5*LN(D98)),IF(E98="WITHDRAWAL",MAX(1,-6*LN(D98)),IF(E98="INQUIRY",MAX(1,-4*LN(D98)),MAX(1,-12*LN(D98)))))</f>
        <v>4.2668297886121964</v>
      </c>
      <c r="H98" s="2">
        <f t="shared" ca="1" si="31"/>
        <v>259.48621717850921</v>
      </c>
      <c r="I98" s="2">
        <f t="shared" ca="1" si="32"/>
        <v>273.35495467563169</v>
      </c>
      <c r="J98" s="2">
        <f t="shared" ca="1" si="38"/>
        <v>259.05166126328248</v>
      </c>
      <c r="K98" s="5">
        <f t="shared" ca="1" si="33"/>
        <v>254.78483147467028</v>
      </c>
      <c r="L98" s="2">
        <f t="shared" ref="L98:L129" ca="1" si="40">K98+G98</f>
        <v>259.05166126328248</v>
      </c>
      <c r="M98" s="2">
        <f t="shared" ca="1" si="34"/>
        <v>3.3967970585473495</v>
      </c>
      <c r="N98" s="2">
        <f t="shared" ca="1" si="24"/>
        <v>1</v>
      </c>
      <c r="O98" s="2">
        <f ca="1">COUNTIFS($C$2:C97,"&lt;="&amp;C98,$L$2:L97,"&gt;"&amp;C98)</f>
        <v>4</v>
      </c>
      <c r="P98" s="5">
        <f t="shared" ca="1" si="35"/>
        <v>0</v>
      </c>
      <c r="Q98" s="5">
        <f t="shared" ca="1" si="36"/>
        <v>0</v>
      </c>
      <c r="R98" s="5">
        <f t="shared" ca="1" si="37"/>
        <v>0</v>
      </c>
      <c r="S98" s="2">
        <f t="shared" ca="1" si="25"/>
        <v>0</v>
      </c>
      <c r="T98" s="4">
        <f t="shared" ca="1" si="26"/>
        <v>0</v>
      </c>
      <c r="U98">
        <f t="shared" ca="1" si="27"/>
        <v>4.2668297886121964</v>
      </c>
      <c r="V98" s="2"/>
      <c r="W98" s="2"/>
      <c r="X98" s="2"/>
      <c r="Y98" s="2"/>
      <c r="Z98" s="2"/>
      <c r="AA98" s="2"/>
      <c r="AB98" s="1"/>
      <c r="AC98" s="1"/>
      <c r="AD98" s="1"/>
      <c r="AE98" s="1"/>
      <c r="AF98" s="1"/>
      <c r="AG98" s="1"/>
      <c r="AH98" s="1"/>
      <c r="AI98" s="1"/>
    </row>
    <row r="99" spans="1:35" ht="18" x14ac:dyDescent="0.35">
      <c r="A99" s="2">
        <v>98</v>
      </c>
      <c r="B99" s="2">
        <f t="shared" ca="1" si="28"/>
        <v>1.1202660102777162</v>
      </c>
      <c r="C99" s="5">
        <f t="shared" ca="1" si="29"/>
        <v>252.50830042640064</v>
      </c>
      <c r="D99" s="2">
        <f t="shared" ca="1" si="23"/>
        <v>0.67926987465792299</v>
      </c>
      <c r="E99" s="2" t="str">
        <f ca="1">LOOKUP(RAND(),{0,0.4,0.7,0.9},{"DEPOSIT","WITHDRAWAL","INQUIRY","LOAN"})</f>
        <v>DEPOSIT</v>
      </c>
      <c r="F99" s="2" t="str">
        <f t="shared" ca="1" si="30"/>
        <v>t3</v>
      </c>
      <c r="G99" s="2">
        <f t="shared" ca="1" si="39"/>
        <v>1.9336838569693802</v>
      </c>
      <c r="H99" s="2">
        <f t="shared" ca="1" si="31"/>
        <v>259.48621717850921</v>
      </c>
      <c r="I99" s="2">
        <f t="shared" ca="1" si="32"/>
        <v>273.35495467563169</v>
      </c>
      <c r="J99" s="2">
        <f t="shared" ca="1" si="38"/>
        <v>260.98534512025185</v>
      </c>
      <c r="K99" s="5">
        <f t="shared" ca="1" si="33"/>
        <v>259.05166126328248</v>
      </c>
      <c r="L99" s="2">
        <f t="shared" ca="1" si="40"/>
        <v>260.98534512025185</v>
      </c>
      <c r="M99" s="2">
        <f t="shared" ca="1" si="34"/>
        <v>6.5433608368818454</v>
      </c>
      <c r="N99" s="2">
        <f t="shared" ca="1" si="24"/>
        <v>1</v>
      </c>
      <c r="O99" s="2">
        <f ca="1">COUNTIFS($C$2:C98,"&lt;="&amp;C99,$L$2:L98,"&gt;"&amp;C99)</f>
        <v>5</v>
      </c>
      <c r="P99" s="5">
        <f t="shared" ca="1" si="35"/>
        <v>0</v>
      </c>
      <c r="Q99" s="5">
        <f t="shared" ca="1" si="36"/>
        <v>0</v>
      </c>
      <c r="R99" s="5">
        <f t="shared" ca="1" si="37"/>
        <v>0</v>
      </c>
      <c r="S99" s="2">
        <f t="shared" ca="1" si="25"/>
        <v>0</v>
      </c>
      <c r="T99" s="4">
        <f t="shared" ca="1" si="26"/>
        <v>0</v>
      </c>
      <c r="U99">
        <f t="shared" ca="1" si="27"/>
        <v>1.9336838569693802</v>
      </c>
      <c r="V99" s="2"/>
      <c r="W99" s="2"/>
      <c r="X99" s="2"/>
      <c r="Y99" s="2"/>
      <c r="Z99" s="2"/>
      <c r="AA99" s="2"/>
      <c r="AB99" s="1"/>
      <c r="AC99" s="1"/>
      <c r="AD99" s="1"/>
      <c r="AE99" s="1"/>
      <c r="AF99" s="1"/>
      <c r="AG99" s="1"/>
      <c r="AH99" s="1"/>
      <c r="AI99" s="1"/>
    </row>
    <row r="100" spans="1:35" ht="18" x14ac:dyDescent="0.35">
      <c r="A100" s="2">
        <v>99</v>
      </c>
      <c r="B100" s="2">
        <f t="shared" ca="1" si="28"/>
        <v>0.780063630741335</v>
      </c>
      <c r="C100" s="5">
        <f t="shared" ca="1" si="29"/>
        <v>253.28836405714196</v>
      </c>
      <c r="D100" s="2">
        <f t="shared" ca="1" si="23"/>
        <v>0.18219916414735493</v>
      </c>
      <c r="E100" s="2" t="str">
        <f ca="1">LOOKUP(RAND(),{0,0.4,0.7,0.9},{"DEPOSIT","WITHDRAWAL","INQUIRY","LOAN"})</f>
        <v>DEPOSIT</v>
      </c>
      <c r="F100" s="2" t="str">
        <f t="shared" ca="1" si="30"/>
        <v>t1</v>
      </c>
      <c r="G100" s="2">
        <f t="shared" ca="1" si="39"/>
        <v>8.5132744086124141</v>
      </c>
      <c r="H100" s="2">
        <f t="shared" ca="1" si="31"/>
        <v>267.99949158712161</v>
      </c>
      <c r="I100" s="2">
        <f t="shared" ca="1" si="32"/>
        <v>273.35495467563169</v>
      </c>
      <c r="J100" s="2">
        <f t="shared" ca="1" si="38"/>
        <v>260.98534512025185</v>
      </c>
      <c r="K100" s="5">
        <f t="shared" ca="1" si="33"/>
        <v>259.48621717850921</v>
      </c>
      <c r="L100" s="2">
        <f t="shared" ca="1" si="40"/>
        <v>267.99949158712161</v>
      </c>
      <c r="M100" s="2">
        <f t="shared" ca="1" si="34"/>
        <v>6.1978531213672454</v>
      </c>
      <c r="N100" s="2">
        <f t="shared" ca="1" si="24"/>
        <v>1</v>
      </c>
      <c r="O100" s="2">
        <f ca="1">COUNTIFS($C$2:C99,"&lt;="&amp;C100,$L$2:L99,"&gt;"&amp;C100)</f>
        <v>5</v>
      </c>
      <c r="P100" s="5">
        <f t="shared" ca="1" si="35"/>
        <v>0</v>
      </c>
      <c r="Q100" s="5">
        <f t="shared" ca="1" si="36"/>
        <v>0</v>
      </c>
      <c r="R100" s="5">
        <f t="shared" ca="1" si="37"/>
        <v>0</v>
      </c>
      <c r="S100" s="2">
        <f t="shared" ca="1" si="25"/>
        <v>8.5132744086124141</v>
      </c>
      <c r="T100" s="4">
        <f t="shared" ca="1" si="26"/>
        <v>0</v>
      </c>
      <c r="U100">
        <f t="shared" ca="1" si="27"/>
        <v>0</v>
      </c>
      <c r="V100" s="2"/>
      <c r="W100" s="2"/>
      <c r="X100" s="2"/>
      <c r="Y100" s="2"/>
      <c r="Z100" s="2"/>
      <c r="AA100" s="2"/>
      <c r="AB100" s="1"/>
      <c r="AC100" s="1"/>
      <c r="AD100" s="1"/>
      <c r="AE100" s="1"/>
      <c r="AF100" s="1"/>
      <c r="AG100" s="1"/>
      <c r="AH100" s="1"/>
      <c r="AI100" s="1"/>
    </row>
    <row r="101" spans="1:35" ht="18" x14ac:dyDescent="0.35">
      <c r="A101" s="2">
        <v>100</v>
      </c>
      <c r="B101" s="2">
        <f t="shared" ca="1" si="28"/>
        <v>9.1495951381708962E-2</v>
      </c>
      <c r="C101" s="5">
        <f t="shared" ca="1" si="29"/>
        <v>253.37986000852368</v>
      </c>
      <c r="D101" s="2">
        <f t="shared" ca="1" si="23"/>
        <v>0.59453571627046897</v>
      </c>
      <c r="E101" s="2" t="str">
        <f ca="1">LOOKUP(RAND(),{0,0.4,0.7,0.9},{"DEPOSIT","WITHDRAWAL","INQUIRY","LOAN"})</f>
        <v>DEPOSIT</v>
      </c>
      <c r="F101" s="2" t="str">
        <f t="shared" ca="1" si="30"/>
        <v>t3</v>
      </c>
      <c r="G101" s="2">
        <f t="shared" ca="1" si="39"/>
        <v>2.5998724341250146</v>
      </c>
      <c r="H101" s="2">
        <f t="shared" ca="1" si="31"/>
        <v>267.99949158712161</v>
      </c>
      <c r="I101" s="2">
        <f t="shared" ca="1" si="32"/>
        <v>273.35495467563169</v>
      </c>
      <c r="J101" s="2">
        <f t="shared" ca="1" si="38"/>
        <v>263.58521755437687</v>
      </c>
      <c r="K101" s="5">
        <f t="shared" ca="1" si="33"/>
        <v>260.98534512025185</v>
      </c>
      <c r="L101" s="2">
        <f t="shared" ca="1" si="40"/>
        <v>263.58521755437687</v>
      </c>
      <c r="M101" s="2">
        <f t="shared" ca="1" si="34"/>
        <v>7.6054851117281714</v>
      </c>
      <c r="N101" s="2">
        <f t="shared" ca="1" si="24"/>
        <v>1</v>
      </c>
      <c r="O101" s="2">
        <f ca="1">COUNTIFS($C$2:C100,"&lt;="&amp;C101,$L$2:L100,"&gt;"&amp;C101)</f>
        <v>6</v>
      </c>
      <c r="P101" s="5">
        <f t="shared" ca="1" si="35"/>
        <v>0</v>
      </c>
      <c r="Q101" s="5">
        <f t="shared" ca="1" si="36"/>
        <v>0</v>
      </c>
      <c r="R101" s="5">
        <f t="shared" ca="1" si="37"/>
        <v>0</v>
      </c>
      <c r="S101" s="2">
        <f t="shared" ca="1" si="25"/>
        <v>0</v>
      </c>
      <c r="T101" s="4">
        <f t="shared" ca="1" si="26"/>
        <v>0</v>
      </c>
      <c r="U101">
        <f t="shared" ca="1" si="27"/>
        <v>2.5998724341250146</v>
      </c>
      <c r="V101" s="2"/>
      <c r="W101" s="2"/>
      <c r="X101" s="2"/>
      <c r="Y101" s="2"/>
      <c r="Z101" s="2"/>
      <c r="AA101" s="2"/>
      <c r="AB101" s="1"/>
      <c r="AC101" s="1"/>
      <c r="AD101" s="1"/>
      <c r="AE101" s="1"/>
      <c r="AF101" s="1"/>
      <c r="AG101" s="1"/>
      <c r="AH101" s="1"/>
      <c r="AI101" s="1"/>
    </row>
    <row r="102" spans="1:35" ht="18" x14ac:dyDescent="0.35">
      <c r="A102" s="2">
        <v>101</v>
      </c>
      <c r="B102" s="2">
        <f t="shared" ca="1" si="28"/>
        <v>3.0483933909833261</v>
      </c>
      <c r="C102" s="5">
        <f t="shared" ca="1" si="29"/>
        <v>256.42825339950701</v>
      </c>
      <c r="D102" s="2">
        <f t="shared" ca="1" si="23"/>
        <v>0.17886994224611807</v>
      </c>
      <c r="E102" s="2" t="str">
        <f ca="1">LOOKUP(RAND(),{0,0.4,0.7,0.9},{"DEPOSIT","WITHDRAWAL","INQUIRY","LOAN"})</f>
        <v>WITHDRAWAL</v>
      </c>
      <c r="F102" s="2" t="str">
        <f t="shared" ca="1" si="30"/>
        <v>t3</v>
      </c>
      <c r="G102" s="2">
        <f t="shared" ca="1" si="39"/>
        <v>10.32657790115349</v>
      </c>
      <c r="H102" s="2">
        <f t="shared" ca="1" si="31"/>
        <v>267.99949158712161</v>
      </c>
      <c r="I102" s="2">
        <f t="shared" ca="1" si="32"/>
        <v>273.35495467563169</v>
      </c>
      <c r="J102" s="2">
        <f t="shared" ca="1" si="38"/>
        <v>273.91179545553035</v>
      </c>
      <c r="K102" s="5">
        <f t="shared" ca="1" si="33"/>
        <v>263.58521755437687</v>
      </c>
      <c r="L102" s="2">
        <f t="shared" ca="1" si="40"/>
        <v>273.91179545553035</v>
      </c>
      <c r="M102" s="2">
        <f t="shared" ca="1" si="34"/>
        <v>7.1569641548698542</v>
      </c>
      <c r="N102" s="2">
        <f t="shared" ca="1" si="24"/>
        <v>1</v>
      </c>
      <c r="O102" s="2">
        <f ca="1">COUNTIFS($C$2:C101,"&lt;="&amp;C102,$L$2:L101,"&gt;"&amp;C102)</f>
        <v>6</v>
      </c>
      <c r="P102" s="5">
        <f t="shared" ca="1" si="35"/>
        <v>0</v>
      </c>
      <c r="Q102" s="5">
        <f t="shared" ca="1" si="36"/>
        <v>0</v>
      </c>
      <c r="R102" s="5">
        <f t="shared" ca="1" si="37"/>
        <v>0</v>
      </c>
      <c r="S102" s="2">
        <f t="shared" ca="1" si="25"/>
        <v>0</v>
      </c>
      <c r="T102" s="4">
        <f t="shared" ca="1" si="26"/>
        <v>0</v>
      </c>
      <c r="U102">
        <f t="shared" ca="1" si="27"/>
        <v>10.32657790115349</v>
      </c>
      <c r="V102" s="2"/>
      <c r="W102" s="2"/>
      <c r="X102" s="2"/>
      <c r="Y102" s="2"/>
      <c r="Z102" s="2"/>
      <c r="AA102" s="2"/>
      <c r="AB102" s="1"/>
      <c r="AC102" s="1"/>
      <c r="AD102" s="1"/>
      <c r="AE102" s="1"/>
      <c r="AF102" s="1"/>
      <c r="AG102" s="1"/>
      <c r="AH102" s="1"/>
      <c r="AI102" s="1"/>
    </row>
    <row r="103" spans="1:35" ht="18" x14ac:dyDescent="0.35">
      <c r="A103" s="2">
        <v>102</v>
      </c>
      <c r="B103" s="2">
        <f t="shared" ca="1" si="28"/>
        <v>0.18841189799016533</v>
      </c>
      <c r="C103" s="5">
        <f t="shared" ca="1" si="29"/>
        <v>256.61666529749721</v>
      </c>
      <c r="D103" s="2">
        <f t="shared" ca="1" si="23"/>
        <v>0.90516302224694134</v>
      </c>
      <c r="E103" s="2" t="str">
        <f ca="1">LOOKUP(RAND(),{0,0.4,0.7,0.9},{"DEPOSIT","WITHDRAWAL","INQUIRY","LOAN"})</f>
        <v>DEPOSIT</v>
      </c>
      <c r="F103" s="2" t="str">
        <f t="shared" ca="1" si="30"/>
        <v>t1</v>
      </c>
      <c r="G103" s="2">
        <f t="shared" ca="1" si="39"/>
        <v>1</v>
      </c>
      <c r="H103" s="2">
        <f t="shared" ca="1" si="31"/>
        <v>268.99949158712161</v>
      </c>
      <c r="I103" s="2">
        <f t="shared" ca="1" si="32"/>
        <v>273.35495467563169</v>
      </c>
      <c r="J103" s="2">
        <f t="shared" ca="1" si="38"/>
        <v>273.91179545553035</v>
      </c>
      <c r="K103" s="5">
        <f t="shared" ca="1" si="33"/>
        <v>267.99949158712161</v>
      </c>
      <c r="L103" s="2">
        <f t="shared" ca="1" si="40"/>
        <v>268.99949158712161</v>
      </c>
      <c r="M103" s="2">
        <f t="shared" ca="1" si="34"/>
        <v>11.382826289624404</v>
      </c>
      <c r="N103" s="2">
        <f t="shared" ca="1" si="24"/>
        <v>1</v>
      </c>
      <c r="O103" s="2">
        <f ca="1">COUNTIFS($C$2:C102,"&lt;="&amp;C103,$L$2:L102,"&gt;"&amp;C103)</f>
        <v>7</v>
      </c>
      <c r="P103" s="5">
        <f t="shared" ca="1" si="35"/>
        <v>0</v>
      </c>
      <c r="Q103" s="5">
        <f t="shared" ca="1" si="36"/>
        <v>0</v>
      </c>
      <c r="R103" s="5">
        <f t="shared" ca="1" si="37"/>
        <v>0</v>
      </c>
      <c r="S103" s="2">
        <f t="shared" ca="1" si="25"/>
        <v>1</v>
      </c>
      <c r="T103" s="4">
        <f t="shared" ca="1" si="26"/>
        <v>0</v>
      </c>
      <c r="U103">
        <f t="shared" ca="1" si="27"/>
        <v>0</v>
      </c>
      <c r="V103" s="2"/>
      <c r="W103" s="2"/>
      <c r="X103" s="2"/>
      <c r="Y103" s="2"/>
      <c r="Z103" s="2"/>
      <c r="AA103" s="2"/>
      <c r="AB103" s="1"/>
      <c r="AC103" s="1"/>
      <c r="AD103" s="1"/>
      <c r="AE103" s="1"/>
      <c r="AF103" s="1"/>
      <c r="AG103" s="1"/>
      <c r="AH103" s="1"/>
      <c r="AI103" s="1"/>
    </row>
    <row r="104" spans="1:35" ht="18" x14ac:dyDescent="0.35">
      <c r="A104" s="2">
        <v>103</v>
      </c>
      <c r="B104" s="2">
        <f t="shared" ca="1" si="28"/>
        <v>2.5467084402581741</v>
      </c>
      <c r="C104" s="5">
        <f t="shared" ca="1" si="29"/>
        <v>259.16337373775536</v>
      </c>
      <c r="D104" s="2">
        <f t="shared" ca="1" si="23"/>
        <v>0.5926965738528821</v>
      </c>
      <c r="E104" s="2" t="str">
        <f ca="1">LOOKUP(RAND(),{0,0.4,0.7,0.9},{"DEPOSIT","WITHDRAWAL","INQUIRY","LOAN"})</f>
        <v>DEPOSIT</v>
      </c>
      <c r="F104" s="2" t="str">
        <f t="shared" ca="1" si="30"/>
        <v>t1</v>
      </c>
      <c r="G104" s="2">
        <f t="shared" ca="1" si="39"/>
        <v>2.6153634539029214</v>
      </c>
      <c r="H104" s="2">
        <f t="shared" ca="1" si="31"/>
        <v>271.61485504102455</v>
      </c>
      <c r="I104" s="2">
        <f t="shared" ca="1" si="32"/>
        <v>273.35495467563169</v>
      </c>
      <c r="J104" s="2">
        <f t="shared" ca="1" si="38"/>
        <v>273.91179545553035</v>
      </c>
      <c r="K104" s="5">
        <f t="shared" ca="1" si="33"/>
        <v>268.99949158712161</v>
      </c>
      <c r="L104" s="2">
        <f t="shared" ca="1" si="40"/>
        <v>271.61485504102455</v>
      </c>
      <c r="M104" s="2">
        <f t="shared" ca="1" si="34"/>
        <v>9.8361178493662464</v>
      </c>
      <c r="N104" s="2">
        <f t="shared" ca="1" si="24"/>
        <v>1</v>
      </c>
      <c r="O104" s="2">
        <f ca="1">COUNTIFS($C$2:C103,"&lt;="&amp;C104,$L$2:L103,"&gt;"&amp;C104)</f>
        <v>7</v>
      </c>
      <c r="P104" s="5">
        <f t="shared" ca="1" si="35"/>
        <v>0</v>
      </c>
      <c r="Q104" s="5">
        <f t="shared" ca="1" si="36"/>
        <v>0</v>
      </c>
      <c r="R104" s="5">
        <f t="shared" ca="1" si="37"/>
        <v>0</v>
      </c>
      <c r="S104" s="2">
        <f t="shared" ca="1" si="25"/>
        <v>2.6153634539029214</v>
      </c>
      <c r="T104" s="4">
        <f t="shared" ca="1" si="26"/>
        <v>0</v>
      </c>
      <c r="U104">
        <f t="shared" ca="1" si="27"/>
        <v>0</v>
      </c>
      <c r="V104" s="2"/>
      <c r="W104" s="2"/>
      <c r="X104" s="2"/>
      <c r="Y104" s="2"/>
      <c r="Z104" s="2"/>
      <c r="AA104" s="2"/>
      <c r="AB104" s="1"/>
      <c r="AC104" s="1"/>
      <c r="AD104" s="1"/>
      <c r="AE104" s="1"/>
      <c r="AF104" s="1"/>
      <c r="AG104" s="1"/>
      <c r="AH104" s="1"/>
      <c r="AI104" s="1"/>
    </row>
    <row r="105" spans="1:35" ht="18" x14ac:dyDescent="0.35">
      <c r="A105" s="2">
        <v>104</v>
      </c>
      <c r="B105" s="2">
        <f t="shared" ca="1" si="28"/>
        <v>1.4241974227324623</v>
      </c>
      <c r="C105" s="5">
        <f t="shared" ca="1" si="29"/>
        <v>260.58757116048781</v>
      </c>
      <c r="D105" s="2">
        <f t="shared" ca="1" si="23"/>
        <v>0.62807813035429461</v>
      </c>
      <c r="E105" s="2" t="str">
        <f ca="1">LOOKUP(RAND(),{0,0.4,0.7,0.9},{"DEPOSIT","WITHDRAWAL","INQUIRY","LOAN"})</f>
        <v>LOAN</v>
      </c>
      <c r="F105" s="2" t="str">
        <f t="shared" ca="1" si="30"/>
        <v>t1</v>
      </c>
      <c r="G105" s="2">
        <f t="shared" ca="1" si="39"/>
        <v>5.5810885063224589</v>
      </c>
      <c r="H105" s="2">
        <f t="shared" ca="1" si="31"/>
        <v>277.19594354734704</v>
      </c>
      <c r="I105" s="2">
        <f t="shared" ca="1" si="32"/>
        <v>273.35495467563169</v>
      </c>
      <c r="J105" s="2">
        <f t="shared" ca="1" si="38"/>
        <v>273.91179545553035</v>
      </c>
      <c r="K105" s="5">
        <f t="shared" ca="1" si="33"/>
        <v>271.61485504102455</v>
      </c>
      <c r="L105" s="2">
        <f t="shared" ca="1" si="40"/>
        <v>277.19594354734704</v>
      </c>
      <c r="M105" s="2">
        <f t="shared" ca="1" si="34"/>
        <v>11.027283880536743</v>
      </c>
      <c r="N105" s="2">
        <f t="shared" ca="1" si="24"/>
        <v>1</v>
      </c>
      <c r="O105" s="2">
        <f ca="1">COUNTIFS($C$2:C104,"&lt;="&amp;C105,$L$2:L104,"&gt;"&amp;C105)</f>
        <v>7</v>
      </c>
      <c r="P105" s="5">
        <f t="shared" ca="1" si="35"/>
        <v>0</v>
      </c>
      <c r="Q105" s="5">
        <f t="shared" ca="1" si="36"/>
        <v>0</v>
      </c>
      <c r="R105" s="5">
        <f t="shared" ca="1" si="37"/>
        <v>0</v>
      </c>
      <c r="S105" s="2">
        <f t="shared" ca="1" si="25"/>
        <v>5.5810885063224589</v>
      </c>
      <c r="T105" s="4">
        <f t="shared" ca="1" si="26"/>
        <v>0</v>
      </c>
      <c r="U105">
        <f t="shared" ca="1" si="27"/>
        <v>0</v>
      </c>
      <c r="V105" s="2"/>
      <c r="W105" s="2"/>
      <c r="X105" s="2"/>
      <c r="Y105" s="2"/>
      <c r="Z105" s="2"/>
      <c r="AA105" s="2"/>
      <c r="AB105" s="1"/>
      <c r="AC105" s="1"/>
      <c r="AD105" s="1"/>
      <c r="AE105" s="1"/>
      <c r="AF105" s="1"/>
      <c r="AG105" s="1"/>
      <c r="AH105" s="1"/>
      <c r="AI105" s="1"/>
    </row>
    <row r="106" spans="1:35" ht="18" x14ac:dyDescent="0.35">
      <c r="A106" s="2">
        <v>105</v>
      </c>
      <c r="B106" s="2">
        <f t="shared" ca="1" si="28"/>
        <v>1.1774744783743061</v>
      </c>
      <c r="C106" s="5">
        <f t="shared" ca="1" si="29"/>
        <v>261.76504563886209</v>
      </c>
      <c r="D106" s="2">
        <f t="shared" ca="1" si="23"/>
        <v>7.9550526906033814E-2</v>
      </c>
      <c r="E106" s="2" t="str">
        <f ca="1">LOOKUP(RAND(),{0,0.4,0.7,0.9},{"DEPOSIT","WITHDRAWAL","INQUIRY","LOAN"})</f>
        <v>WITHDRAWAL</v>
      </c>
      <c r="F106" s="2" t="str">
        <f t="shared" ca="1" si="30"/>
        <v>t2</v>
      </c>
      <c r="G106" s="2">
        <f t="shared" ca="1" si="39"/>
        <v>15.188177403823197</v>
      </c>
      <c r="H106" s="2">
        <f t="shared" ca="1" si="31"/>
        <v>277.19594354734704</v>
      </c>
      <c r="I106" s="2">
        <f t="shared" ca="1" si="32"/>
        <v>288.54313207945489</v>
      </c>
      <c r="J106" s="2">
        <f t="shared" ca="1" si="38"/>
        <v>273.91179545553035</v>
      </c>
      <c r="K106" s="5">
        <f t="shared" ca="1" si="33"/>
        <v>273.35495467563169</v>
      </c>
      <c r="L106" s="2">
        <f t="shared" ca="1" si="40"/>
        <v>288.54313207945489</v>
      </c>
      <c r="M106" s="2">
        <f t="shared" ca="1" si="34"/>
        <v>11.589909036769598</v>
      </c>
      <c r="N106" s="2">
        <f t="shared" ca="1" si="24"/>
        <v>1</v>
      </c>
      <c r="O106" s="2">
        <f ca="1">COUNTIFS($C$2:C105,"&lt;="&amp;C106,$L$2:L105,"&gt;"&amp;C106)</f>
        <v>7</v>
      </c>
      <c r="P106" s="5">
        <f t="shared" ca="1" si="35"/>
        <v>0</v>
      </c>
      <c r="Q106" s="5">
        <f t="shared" ca="1" si="36"/>
        <v>0</v>
      </c>
      <c r="R106" s="5">
        <f t="shared" ca="1" si="37"/>
        <v>0</v>
      </c>
      <c r="S106" s="2">
        <f t="shared" ca="1" si="25"/>
        <v>0</v>
      </c>
      <c r="T106" s="4">
        <f t="shared" ca="1" si="26"/>
        <v>15.188177403823197</v>
      </c>
      <c r="U106">
        <f t="shared" ca="1" si="27"/>
        <v>0</v>
      </c>
      <c r="V106" s="2"/>
      <c r="W106" s="2"/>
      <c r="X106" s="2"/>
      <c r="Y106" s="2"/>
      <c r="Z106" s="2"/>
      <c r="AA106" s="2"/>
      <c r="AB106" s="1"/>
      <c r="AC106" s="1"/>
      <c r="AD106" s="1"/>
      <c r="AE106" s="1"/>
      <c r="AF106" s="1"/>
      <c r="AG106" s="1"/>
      <c r="AH106" s="1"/>
      <c r="AI106" s="1"/>
    </row>
    <row r="107" spans="1:35" ht="18" x14ac:dyDescent="0.35">
      <c r="A107" s="2">
        <v>106</v>
      </c>
      <c r="B107" s="2">
        <f t="shared" ca="1" si="28"/>
        <v>0.90469190830802182</v>
      </c>
      <c r="C107" s="5">
        <f t="shared" ca="1" si="29"/>
        <v>262.66973754717009</v>
      </c>
      <c r="D107" s="2">
        <f t="shared" ca="1" si="23"/>
        <v>0.3793080035859262</v>
      </c>
      <c r="E107" s="2" t="str">
        <f ca="1">LOOKUP(RAND(),{0,0.4,0.7,0.9},{"DEPOSIT","WITHDRAWAL","INQUIRY","LOAN"})</f>
        <v>LOAN</v>
      </c>
      <c r="F107" s="2" t="str">
        <f t="shared" ca="1" si="30"/>
        <v>t3</v>
      </c>
      <c r="G107" s="2">
        <f t="shared" ca="1" si="39"/>
        <v>11.632880754858348</v>
      </c>
      <c r="H107" s="2">
        <f t="shared" ca="1" si="31"/>
        <v>277.19594354734704</v>
      </c>
      <c r="I107" s="2">
        <f t="shared" ca="1" si="32"/>
        <v>288.54313207945489</v>
      </c>
      <c r="J107" s="2">
        <f t="shared" ca="1" si="38"/>
        <v>285.54467621038873</v>
      </c>
      <c r="K107" s="5">
        <f t="shared" ca="1" si="33"/>
        <v>273.91179545553035</v>
      </c>
      <c r="L107" s="2">
        <f t="shared" ca="1" si="40"/>
        <v>285.54467621038873</v>
      </c>
      <c r="M107" s="2">
        <f t="shared" ca="1" si="34"/>
        <v>11.242057908360266</v>
      </c>
      <c r="N107" s="2">
        <f t="shared" ca="1" si="24"/>
        <v>1</v>
      </c>
      <c r="O107" s="2">
        <f ca="1">COUNTIFS($C$2:C106,"&lt;="&amp;C107,$L$2:L106,"&gt;"&amp;C107)</f>
        <v>8</v>
      </c>
      <c r="P107" s="5">
        <f t="shared" ca="1" si="35"/>
        <v>0</v>
      </c>
      <c r="Q107" s="5">
        <f t="shared" ca="1" si="36"/>
        <v>0</v>
      </c>
      <c r="R107" s="5">
        <f t="shared" ca="1" si="37"/>
        <v>0</v>
      </c>
      <c r="S107" s="2">
        <f t="shared" ca="1" si="25"/>
        <v>0</v>
      </c>
      <c r="T107" s="4">
        <f t="shared" ca="1" si="26"/>
        <v>0</v>
      </c>
      <c r="U107">
        <f t="shared" ca="1" si="27"/>
        <v>11.632880754858348</v>
      </c>
      <c r="V107" s="2"/>
      <c r="W107" s="2"/>
      <c r="X107" s="2"/>
      <c r="Y107" s="2"/>
      <c r="Z107" s="2"/>
      <c r="AA107" s="2"/>
      <c r="AB107" s="1"/>
      <c r="AC107" s="1"/>
      <c r="AD107" s="1"/>
      <c r="AE107" s="1"/>
      <c r="AF107" s="1"/>
      <c r="AG107" s="1"/>
      <c r="AH107" s="1"/>
      <c r="AI107" s="1"/>
    </row>
    <row r="108" spans="1:35" ht="18" x14ac:dyDescent="0.35">
      <c r="A108" s="2">
        <v>107</v>
      </c>
      <c r="B108" s="2">
        <f t="shared" ca="1" si="28"/>
        <v>3.3035505412162607</v>
      </c>
      <c r="C108" s="5">
        <f t="shared" ca="1" si="29"/>
        <v>265.97328808838637</v>
      </c>
      <c r="D108" s="2">
        <f t="shared" ca="1" si="23"/>
        <v>0.47062238212292051</v>
      </c>
      <c r="E108" s="2" t="str">
        <f ca="1">LOOKUP(RAND(),{0,0.4,0.7,0.9},{"DEPOSIT","WITHDRAWAL","INQUIRY","LOAN"})</f>
        <v>DEPOSIT</v>
      </c>
      <c r="F108" s="2" t="str">
        <f t="shared" ca="1" si="30"/>
        <v>t1</v>
      </c>
      <c r="G108" s="2">
        <f t="shared" ca="1" si="39"/>
        <v>3.768496214988347</v>
      </c>
      <c r="H108" s="2">
        <f t="shared" ca="1" si="31"/>
        <v>280.96443976233542</v>
      </c>
      <c r="I108" s="2">
        <f t="shared" ca="1" si="32"/>
        <v>288.54313207945489</v>
      </c>
      <c r="J108" s="2">
        <f t="shared" ca="1" si="38"/>
        <v>285.54467621038873</v>
      </c>
      <c r="K108" s="5">
        <f t="shared" ca="1" si="33"/>
        <v>277.19594354734704</v>
      </c>
      <c r="L108" s="2">
        <f t="shared" ca="1" si="40"/>
        <v>280.96443976233542</v>
      </c>
      <c r="M108" s="2">
        <f t="shared" ca="1" si="34"/>
        <v>11.222655458960674</v>
      </c>
      <c r="N108" s="2">
        <f t="shared" ca="1" si="24"/>
        <v>1</v>
      </c>
      <c r="O108" s="2">
        <f ca="1">COUNTIFS($C$2:C107,"&lt;="&amp;C108,$L$2:L107,"&gt;"&amp;C108)</f>
        <v>8</v>
      </c>
      <c r="P108" s="5">
        <f t="shared" ca="1" si="35"/>
        <v>0</v>
      </c>
      <c r="Q108" s="5">
        <f t="shared" ca="1" si="36"/>
        <v>0</v>
      </c>
      <c r="R108" s="5">
        <f t="shared" ca="1" si="37"/>
        <v>0</v>
      </c>
      <c r="S108" s="2">
        <f t="shared" ca="1" si="25"/>
        <v>3.768496214988347</v>
      </c>
      <c r="T108" s="4">
        <f t="shared" ca="1" si="26"/>
        <v>0</v>
      </c>
      <c r="U108">
        <f t="shared" ca="1" si="27"/>
        <v>0</v>
      </c>
      <c r="V108" s="2"/>
      <c r="W108" s="2"/>
      <c r="X108" s="2"/>
      <c r="Y108" s="2"/>
      <c r="Z108" s="2"/>
      <c r="AA108" s="2"/>
      <c r="AB108" s="1"/>
      <c r="AC108" s="1"/>
      <c r="AD108" s="1"/>
      <c r="AE108" s="1"/>
      <c r="AF108" s="1"/>
      <c r="AG108" s="1"/>
      <c r="AH108" s="1"/>
      <c r="AI108" s="1"/>
    </row>
    <row r="109" spans="1:35" ht="18" x14ac:dyDescent="0.35">
      <c r="A109" s="2">
        <v>108</v>
      </c>
      <c r="B109" s="2">
        <f t="shared" ca="1" si="28"/>
        <v>3.3015748445447439</v>
      </c>
      <c r="C109" s="5">
        <f t="shared" ca="1" si="29"/>
        <v>269.27486293293111</v>
      </c>
      <c r="D109" s="2">
        <f t="shared" ca="1" si="23"/>
        <v>0.96148213265741278</v>
      </c>
      <c r="E109" s="2" t="str">
        <f ca="1">LOOKUP(RAND(),{0,0.4,0.7,0.9},{"DEPOSIT","WITHDRAWAL","INQUIRY","LOAN"})</f>
        <v>WITHDRAWAL</v>
      </c>
      <c r="F109" s="2" t="str">
        <f t="shared" ca="1" si="30"/>
        <v>t1</v>
      </c>
      <c r="G109" s="2">
        <f t="shared" ca="1" si="39"/>
        <v>1</v>
      </c>
      <c r="H109" s="2">
        <f t="shared" ca="1" si="31"/>
        <v>281.96443976233542</v>
      </c>
      <c r="I109" s="2">
        <f t="shared" ca="1" si="32"/>
        <v>288.54313207945489</v>
      </c>
      <c r="J109" s="2">
        <f t="shared" ca="1" si="38"/>
        <v>285.54467621038873</v>
      </c>
      <c r="K109" s="5">
        <f t="shared" ca="1" si="33"/>
        <v>280.96443976233542</v>
      </c>
      <c r="L109" s="2">
        <f t="shared" ca="1" si="40"/>
        <v>281.96443976233542</v>
      </c>
      <c r="M109" s="2">
        <f t="shared" ca="1" si="34"/>
        <v>11.689576829404302</v>
      </c>
      <c r="N109" s="2">
        <f t="shared" ca="1" si="24"/>
        <v>1</v>
      </c>
      <c r="O109" s="2">
        <f ca="1">COUNTIFS($C$2:C108,"&lt;="&amp;C109,$L$2:L108,"&gt;"&amp;C109)</f>
        <v>7</v>
      </c>
      <c r="P109" s="5">
        <f t="shared" ca="1" si="35"/>
        <v>0</v>
      </c>
      <c r="Q109" s="5">
        <f t="shared" ca="1" si="36"/>
        <v>0</v>
      </c>
      <c r="R109" s="5">
        <f t="shared" ca="1" si="37"/>
        <v>0</v>
      </c>
      <c r="S109" s="2">
        <f t="shared" ca="1" si="25"/>
        <v>1</v>
      </c>
      <c r="T109" s="4">
        <f t="shared" ca="1" si="26"/>
        <v>0</v>
      </c>
      <c r="U109">
        <f t="shared" ca="1" si="27"/>
        <v>0</v>
      </c>
      <c r="V109" s="2"/>
      <c r="W109" s="2"/>
      <c r="X109" s="2"/>
      <c r="Y109" s="2"/>
      <c r="Z109" s="2"/>
      <c r="AA109" s="2"/>
      <c r="AB109" s="1"/>
      <c r="AC109" s="1"/>
      <c r="AD109" s="1"/>
      <c r="AE109" s="1"/>
      <c r="AF109" s="1"/>
      <c r="AG109" s="1"/>
      <c r="AH109" s="1"/>
      <c r="AI109" s="1"/>
    </row>
    <row r="110" spans="1:35" ht="18" x14ac:dyDescent="0.35">
      <c r="A110" s="2">
        <v>109</v>
      </c>
      <c r="B110" s="2">
        <f t="shared" ca="1" si="28"/>
        <v>2.5667693732461658</v>
      </c>
      <c r="C110" s="5">
        <f t="shared" ca="1" si="29"/>
        <v>271.8416323061773</v>
      </c>
      <c r="D110" s="2">
        <f t="shared" ca="1" si="23"/>
        <v>0.44764733163200876</v>
      </c>
      <c r="E110" s="2" t="str">
        <f ca="1">LOOKUP(RAND(),{0,0.4,0.7,0.9},{"DEPOSIT","WITHDRAWAL","INQUIRY","LOAN"})</f>
        <v>INQUIRY</v>
      </c>
      <c r="F110" s="2" t="str">
        <f t="shared" ca="1" si="30"/>
        <v>t1</v>
      </c>
      <c r="G110" s="2">
        <f t="shared" ca="1" si="39"/>
        <v>3.21499825102077</v>
      </c>
      <c r="H110" s="2">
        <f t="shared" ca="1" si="31"/>
        <v>285.17943801335616</v>
      </c>
      <c r="I110" s="2">
        <f t="shared" ca="1" si="32"/>
        <v>288.54313207945489</v>
      </c>
      <c r="J110" s="2">
        <f t="shared" ca="1" si="38"/>
        <v>285.54467621038873</v>
      </c>
      <c r="K110" s="5">
        <f t="shared" ca="1" si="33"/>
        <v>281.96443976233542</v>
      </c>
      <c r="L110" s="2">
        <f t="shared" ca="1" si="40"/>
        <v>285.17943801335616</v>
      </c>
      <c r="M110" s="2">
        <f t="shared" ca="1" si="34"/>
        <v>10.122807456158114</v>
      </c>
      <c r="N110" s="2">
        <f t="shared" ca="1" si="24"/>
        <v>1</v>
      </c>
      <c r="O110" s="2">
        <f ca="1">COUNTIFS($C$2:C109,"&lt;="&amp;C110,$L$2:L109,"&gt;"&amp;C110)</f>
        <v>7</v>
      </c>
      <c r="P110" s="5">
        <f t="shared" ca="1" si="35"/>
        <v>0</v>
      </c>
      <c r="Q110" s="5">
        <f t="shared" ca="1" si="36"/>
        <v>0</v>
      </c>
      <c r="R110" s="5">
        <f t="shared" ca="1" si="37"/>
        <v>0</v>
      </c>
      <c r="S110" s="2">
        <f t="shared" ca="1" si="25"/>
        <v>3.21499825102077</v>
      </c>
      <c r="T110" s="4">
        <f t="shared" ca="1" si="26"/>
        <v>0</v>
      </c>
      <c r="U110">
        <f t="shared" ca="1" si="27"/>
        <v>0</v>
      </c>
      <c r="V110" s="2"/>
      <c r="W110" s="2"/>
      <c r="X110" s="2"/>
      <c r="Y110" s="2"/>
      <c r="Z110" s="2"/>
      <c r="AA110" s="2"/>
      <c r="AB110" s="1"/>
      <c r="AC110" s="1"/>
      <c r="AD110" s="1"/>
      <c r="AE110" s="1"/>
      <c r="AF110" s="1"/>
      <c r="AG110" s="1"/>
      <c r="AH110" s="1"/>
      <c r="AI110" s="1"/>
    </row>
    <row r="111" spans="1:35" ht="18" x14ac:dyDescent="0.35">
      <c r="A111" s="2">
        <v>110</v>
      </c>
      <c r="B111" s="2">
        <f t="shared" ca="1" si="28"/>
        <v>2.0665449576924737</v>
      </c>
      <c r="C111" s="5">
        <f t="shared" ca="1" si="29"/>
        <v>273.90817726386979</v>
      </c>
      <c r="D111" s="2">
        <f t="shared" ca="1" si="23"/>
        <v>5.1618511422121705E-2</v>
      </c>
      <c r="E111" s="2" t="str">
        <f ca="1">LOOKUP(RAND(),{0,0.4,0.7,0.9},{"DEPOSIT","WITHDRAWAL","INQUIRY","LOAN"})</f>
        <v>DEPOSIT</v>
      </c>
      <c r="F111" s="2" t="str">
        <f t="shared" ca="1" si="30"/>
        <v>t1</v>
      </c>
      <c r="G111" s="2">
        <f t="shared" ca="1" si="39"/>
        <v>14.819374611693714</v>
      </c>
      <c r="H111" s="2">
        <f t="shared" ca="1" si="31"/>
        <v>299.99881262504988</v>
      </c>
      <c r="I111" s="2">
        <f t="shared" ca="1" si="32"/>
        <v>288.54313207945489</v>
      </c>
      <c r="J111" s="2">
        <f t="shared" ca="1" si="38"/>
        <v>285.54467621038873</v>
      </c>
      <c r="K111" s="5">
        <f t="shared" ca="1" si="33"/>
        <v>285.17943801335616</v>
      </c>
      <c r="L111" s="2">
        <f t="shared" ca="1" si="40"/>
        <v>299.99881262504988</v>
      </c>
      <c r="M111" s="2">
        <f t="shared" ca="1" si="34"/>
        <v>11.271260749486373</v>
      </c>
      <c r="N111" s="2">
        <f t="shared" ca="1" si="24"/>
        <v>1</v>
      </c>
      <c r="O111" s="2">
        <f ca="1">COUNTIFS($C$2:C110,"&lt;="&amp;C111,$L$2:L110,"&gt;"&amp;C111)</f>
        <v>7</v>
      </c>
      <c r="P111" s="5">
        <f t="shared" ca="1" si="35"/>
        <v>0</v>
      </c>
      <c r="Q111" s="5">
        <f t="shared" ca="1" si="36"/>
        <v>0</v>
      </c>
      <c r="R111" s="5">
        <f t="shared" ca="1" si="37"/>
        <v>0</v>
      </c>
      <c r="S111" s="2">
        <f t="shared" ca="1" si="25"/>
        <v>14.819374611693714</v>
      </c>
      <c r="T111" s="4">
        <f t="shared" ca="1" si="26"/>
        <v>0</v>
      </c>
      <c r="U111">
        <f t="shared" ca="1" si="27"/>
        <v>0</v>
      </c>
      <c r="V111" s="2"/>
      <c r="W111" s="2"/>
      <c r="X111" s="2"/>
      <c r="Y111" s="2"/>
      <c r="Z111" s="2"/>
      <c r="AA111" s="2"/>
      <c r="AB111" s="1"/>
      <c r="AC111" s="1"/>
      <c r="AD111" s="1"/>
      <c r="AE111" s="1"/>
      <c r="AF111" s="1"/>
      <c r="AG111" s="1"/>
      <c r="AH111" s="1"/>
      <c r="AI111" s="1"/>
    </row>
    <row r="112" spans="1:35" ht="18" x14ac:dyDescent="0.35">
      <c r="A112" s="2">
        <v>111</v>
      </c>
      <c r="B112" s="2">
        <f t="shared" ca="1" si="28"/>
        <v>0.68172224940341097</v>
      </c>
      <c r="C112" s="5">
        <f t="shared" ca="1" si="29"/>
        <v>274.58989951327322</v>
      </c>
      <c r="D112" s="2">
        <f t="shared" ca="1" si="23"/>
        <v>0.70436959689597123</v>
      </c>
      <c r="E112" s="2" t="str">
        <f ca="1">LOOKUP(RAND(),{0,0.4,0.7,0.9},{"DEPOSIT","WITHDRAWAL","INQUIRY","LOAN"})</f>
        <v>WITHDRAWAL</v>
      </c>
      <c r="F112" s="2" t="str">
        <f t="shared" ca="1" si="30"/>
        <v>t3</v>
      </c>
      <c r="G112" s="2">
        <f t="shared" ca="1" si="39"/>
        <v>2.102712389971185</v>
      </c>
      <c r="H112" s="2">
        <f t="shared" ca="1" si="31"/>
        <v>299.99881262504988</v>
      </c>
      <c r="I112" s="2">
        <f t="shared" ca="1" si="32"/>
        <v>288.54313207945489</v>
      </c>
      <c r="J112" s="2">
        <f t="shared" ca="1" si="38"/>
        <v>287.64738860035993</v>
      </c>
      <c r="K112" s="5">
        <f t="shared" ca="1" si="33"/>
        <v>285.54467621038873</v>
      </c>
      <c r="L112" s="2">
        <f t="shared" ca="1" si="40"/>
        <v>287.64738860035993</v>
      </c>
      <c r="M112" s="2">
        <f t="shared" ca="1" si="34"/>
        <v>10.954776697115506</v>
      </c>
      <c r="N112" s="2">
        <f t="shared" ca="1" si="24"/>
        <v>1</v>
      </c>
      <c r="O112" s="2">
        <f ca="1">COUNTIFS($C$2:C111,"&lt;="&amp;C112,$L$2:L111,"&gt;"&amp;C112)</f>
        <v>7</v>
      </c>
      <c r="P112" s="5">
        <f t="shared" ca="1" si="35"/>
        <v>0</v>
      </c>
      <c r="Q112" s="5">
        <f t="shared" ca="1" si="36"/>
        <v>0</v>
      </c>
      <c r="R112" s="5">
        <f t="shared" ca="1" si="37"/>
        <v>0</v>
      </c>
      <c r="S112" s="2">
        <f t="shared" ca="1" si="25"/>
        <v>0</v>
      </c>
      <c r="T112" s="4">
        <f t="shared" ca="1" si="26"/>
        <v>0</v>
      </c>
      <c r="U112">
        <f t="shared" ca="1" si="27"/>
        <v>2.102712389971185</v>
      </c>
      <c r="V112" s="2"/>
      <c r="W112" s="2"/>
      <c r="X112" s="2"/>
      <c r="Y112" s="2"/>
      <c r="Z112" s="2"/>
      <c r="AA112" s="2"/>
      <c r="AB112" s="1"/>
      <c r="AC112" s="1"/>
      <c r="AD112" s="1"/>
      <c r="AE112" s="1"/>
      <c r="AF112" s="1"/>
      <c r="AG112" s="1"/>
      <c r="AH112" s="1"/>
      <c r="AI112" s="1"/>
    </row>
    <row r="113" spans="1:35" ht="18" x14ac:dyDescent="0.35">
      <c r="A113" s="2">
        <v>112</v>
      </c>
      <c r="B113" s="2">
        <f t="shared" ca="1" si="28"/>
        <v>0.94968725820420552</v>
      </c>
      <c r="C113" s="5">
        <f t="shared" ca="1" si="29"/>
        <v>275.53958677147745</v>
      </c>
      <c r="D113" s="2">
        <f t="shared" ca="1" si="23"/>
        <v>0.88322244954602969</v>
      </c>
      <c r="E113" s="2" t="str">
        <f ca="1">LOOKUP(RAND(),{0,0.4,0.7,0.9},{"DEPOSIT","WITHDRAWAL","INQUIRY","LOAN"})</f>
        <v>DEPOSIT</v>
      </c>
      <c r="F113" s="2" t="str">
        <f t="shared" ca="1" si="30"/>
        <v>t3</v>
      </c>
      <c r="G113" s="2">
        <f t="shared" ca="1" si="39"/>
        <v>1</v>
      </c>
      <c r="H113" s="2">
        <f t="shared" ca="1" si="31"/>
        <v>299.99881262504988</v>
      </c>
      <c r="I113" s="2">
        <f t="shared" ca="1" si="32"/>
        <v>288.54313207945489</v>
      </c>
      <c r="J113" s="2">
        <f t="shared" ca="1" si="38"/>
        <v>288.64738860035993</v>
      </c>
      <c r="K113" s="5">
        <f t="shared" ca="1" si="33"/>
        <v>287.64738860035993</v>
      </c>
      <c r="L113" s="2">
        <f t="shared" ca="1" si="40"/>
        <v>288.64738860035993</v>
      </c>
      <c r="M113" s="2">
        <f t="shared" ca="1" si="34"/>
        <v>12.107801828882486</v>
      </c>
      <c r="N113" s="2">
        <f t="shared" ca="1" si="24"/>
        <v>1</v>
      </c>
      <c r="O113" s="2">
        <f ca="1">COUNTIFS($C$2:C112,"&lt;="&amp;C113,$L$2:L112,"&gt;"&amp;C113)</f>
        <v>8</v>
      </c>
      <c r="P113" s="5">
        <f t="shared" ca="1" si="35"/>
        <v>0</v>
      </c>
      <c r="Q113" s="5">
        <f t="shared" ca="1" si="36"/>
        <v>0</v>
      </c>
      <c r="R113" s="5">
        <f t="shared" ca="1" si="37"/>
        <v>0</v>
      </c>
      <c r="S113" s="2">
        <f t="shared" ca="1" si="25"/>
        <v>0</v>
      </c>
      <c r="T113" s="4">
        <f t="shared" ca="1" si="26"/>
        <v>0</v>
      </c>
      <c r="U113">
        <f t="shared" ca="1" si="27"/>
        <v>1</v>
      </c>
      <c r="V113" s="2"/>
      <c r="W113" s="2"/>
      <c r="X113" s="2"/>
      <c r="Y113" s="2"/>
      <c r="Z113" s="2"/>
      <c r="AA113" s="2"/>
      <c r="AB113" s="1"/>
      <c r="AC113" s="1"/>
      <c r="AD113" s="1"/>
      <c r="AE113" s="1"/>
      <c r="AF113" s="1"/>
      <c r="AG113" s="1"/>
      <c r="AH113" s="1"/>
      <c r="AI113" s="1"/>
    </row>
    <row r="114" spans="1:35" ht="18" x14ac:dyDescent="0.35">
      <c r="A114" s="2">
        <v>113</v>
      </c>
      <c r="B114" s="2">
        <f t="shared" ca="1" si="28"/>
        <v>6.2795913446156106</v>
      </c>
      <c r="C114" s="5">
        <f t="shared" ca="1" si="29"/>
        <v>281.81917811609304</v>
      </c>
      <c r="D114" s="2">
        <f t="shared" ca="1" si="23"/>
        <v>0.22313318369810531</v>
      </c>
      <c r="E114" s="2" t="str">
        <f ca="1">LOOKUP(RAND(),{0,0.4,0.7,0.9},{"DEPOSIT","WITHDRAWAL","INQUIRY","LOAN"})</f>
        <v>DEPOSIT</v>
      </c>
      <c r="F114" s="2" t="str">
        <f t="shared" ca="1" si="30"/>
        <v>t2</v>
      </c>
      <c r="G114" s="2">
        <f t="shared" ca="1" si="39"/>
        <v>7.4999322474113725</v>
      </c>
      <c r="H114" s="2">
        <f t="shared" ca="1" si="31"/>
        <v>299.99881262504988</v>
      </c>
      <c r="I114" s="2">
        <f t="shared" ca="1" si="32"/>
        <v>296.04306432686627</v>
      </c>
      <c r="J114" s="2">
        <f t="shared" ca="1" si="38"/>
        <v>288.64738860035993</v>
      </c>
      <c r="K114" s="5">
        <f t="shared" ca="1" si="33"/>
        <v>288.54313207945489</v>
      </c>
      <c r="L114" s="2">
        <f t="shared" ca="1" si="40"/>
        <v>296.04306432686627</v>
      </c>
      <c r="M114" s="2">
        <f t="shared" ca="1" si="34"/>
        <v>6.7239539633618506</v>
      </c>
      <c r="N114" s="2">
        <f t="shared" ca="1" si="24"/>
        <v>1</v>
      </c>
      <c r="O114" s="2">
        <f ca="1">COUNTIFS($C$2:C113,"&lt;="&amp;C114,$L$2:L113,"&gt;"&amp;C114)</f>
        <v>7</v>
      </c>
      <c r="P114" s="5">
        <f t="shared" ca="1" si="35"/>
        <v>0</v>
      </c>
      <c r="Q114" s="5">
        <f t="shared" ca="1" si="36"/>
        <v>0</v>
      </c>
      <c r="R114" s="5">
        <f t="shared" ca="1" si="37"/>
        <v>0</v>
      </c>
      <c r="S114" s="2">
        <f t="shared" ca="1" si="25"/>
        <v>0</v>
      </c>
      <c r="T114" s="4">
        <f t="shared" ca="1" si="26"/>
        <v>7.4999322474113725</v>
      </c>
      <c r="U114">
        <f t="shared" ca="1" si="27"/>
        <v>0</v>
      </c>
      <c r="V114" s="2"/>
      <c r="W114" s="2"/>
      <c r="X114" s="2"/>
      <c r="Y114" s="2"/>
      <c r="Z114" s="2"/>
      <c r="AA114" s="2"/>
      <c r="AB114" s="1"/>
      <c r="AC114" s="1"/>
      <c r="AD114" s="1"/>
      <c r="AE114" s="1"/>
      <c r="AF114" s="1"/>
      <c r="AG114" s="1"/>
      <c r="AH114" s="1"/>
      <c r="AI114" s="1"/>
    </row>
    <row r="115" spans="1:35" ht="18" x14ac:dyDescent="0.35">
      <c r="A115" s="2">
        <v>114</v>
      </c>
      <c r="B115" s="2">
        <f t="shared" ca="1" si="28"/>
        <v>8.8123464790050008</v>
      </c>
      <c r="C115" s="5">
        <f t="shared" ca="1" si="29"/>
        <v>290.63152459509803</v>
      </c>
      <c r="D115" s="2">
        <f t="shared" ca="1" si="23"/>
        <v>0.73022808800660177</v>
      </c>
      <c r="E115" s="2" t="str">
        <f ca="1">LOOKUP(RAND(),{0,0.4,0.7,0.9},{"DEPOSIT","WITHDRAWAL","INQUIRY","LOAN"})</f>
        <v>DEPOSIT</v>
      </c>
      <c r="F115" s="2" t="str">
        <f t="shared" ca="1" si="30"/>
        <v>t3</v>
      </c>
      <c r="G115" s="2">
        <f t="shared" ca="1" si="39"/>
        <v>1.5719917215885655</v>
      </c>
      <c r="H115" s="2">
        <f t="shared" ca="1" si="31"/>
        <v>299.99881262504988</v>
      </c>
      <c r="I115" s="2">
        <f t="shared" ca="1" si="32"/>
        <v>296.04306432686627</v>
      </c>
      <c r="J115" s="2">
        <f t="shared" ca="1" si="38"/>
        <v>292.2035163166866</v>
      </c>
      <c r="K115" s="5">
        <f t="shared" ca="1" si="33"/>
        <v>290.63152459509803</v>
      </c>
      <c r="L115" s="2">
        <f t="shared" ca="1" si="40"/>
        <v>292.2035163166866</v>
      </c>
      <c r="M115" s="2">
        <f t="shared" ca="1" si="34"/>
        <v>0</v>
      </c>
      <c r="N115" s="2">
        <f t="shared" ca="1" si="24"/>
        <v>0</v>
      </c>
      <c r="O115" s="2">
        <f ca="1">COUNTIFS($C$2:C114,"&lt;="&amp;C115,$L$2:L114,"&gt;"&amp;C115)</f>
        <v>2</v>
      </c>
      <c r="P115" s="5">
        <f t="shared" ca="1" si="35"/>
        <v>0</v>
      </c>
      <c r="Q115" s="5">
        <f t="shared" ca="1" si="36"/>
        <v>0</v>
      </c>
      <c r="R115" s="5">
        <f t="shared" ca="1" si="37"/>
        <v>0</v>
      </c>
      <c r="S115" s="2">
        <f t="shared" ca="1" si="25"/>
        <v>0</v>
      </c>
      <c r="T115" s="4">
        <f t="shared" ca="1" si="26"/>
        <v>0</v>
      </c>
      <c r="U115">
        <f t="shared" ca="1" si="27"/>
        <v>1.5719917215885655</v>
      </c>
      <c r="V115" s="2"/>
      <c r="W115" s="2"/>
      <c r="X115" s="2"/>
      <c r="Y115" s="2"/>
      <c r="Z115" s="2"/>
      <c r="AA115" s="2"/>
      <c r="AB115" s="1"/>
      <c r="AC115" s="1"/>
      <c r="AD115" s="1"/>
      <c r="AE115" s="1"/>
      <c r="AF115" s="1"/>
      <c r="AG115" s="1"/>
      <c r="AH115" s="1"/>
      <c r="AI115" s="1"/>
    </row>
    <row r="116" spans="1:35" ht="18" x14ac:dyDescent="0.35">
      <c r="A116" s="2">
        <v>115</v>
      </c>
      <c r="B116" s="2">
        <f t="shared" ca="1" si="28"/>
        <v>3.4732249766210099</v>
      </c>
      <c r="C116" s="5">
        <f t="shared" ca="1" si="29"/>
        <v>294.10474957171903</v>
      </c>
      <c r="D116" s="2">
        <f t="shared" ca="1" si="23"/>
        <v>0.89575316979610342</v>
      </c>
      <c r="E116" s="2" t="str">
        <f ca="1">LOOKUP(RAND(),{0,0.4,0.7,0.9},{"DEPOSIT","WITHDRAWAL","INQUIRY","LOAN"})</f>
        <v>WITHDRAWAL</v>
      </c>
      <c r="F116" s="2" t="str">
        <f t="shared" ca="1" si="30"/>
        <v>t3</v>
      </c>
      <c r="G116" s="2">
        <f t="shared" ca="1" si="39"/>
        <v>1</v>
      </c>
      <c r="H116" s="2">
        <f t="shared" ca="1" si="31"/>
        <v>299.99881262504988</v>
      </c>
      <c r="I116" s="2">
        <f t="shared" ca="1" si="32"/>
        <v>296.04306432686627</v>
      </c>
      <c r="J116" s="2">
        <f t="shared" ca="1" si="38"/>
        <v>295.10474957171903</v>
      </c>
      <c r="K116" s="5">
        <f t="shared" ca="1" si="33"/>
        <v>294.10474957171903</v>
      </c>
      <c r="L116" s="2">
        <f t="shared" ca="1" si="40"/>
        <v>295.10474957171903</v>
      </c>
      <c r="M116" s="2">
        <f t="shared" ca="1" si="34"/>
        <v>0</v>
      </c>
      <c r="N116" s="2">
        <f t="shared" ca="1" si="24"/>
        <v>0</v>
      </c>
      <c r="O116" s="2">
        <f ca="1">COUNTIFS($C$2:C115,"&lt;="&amp;C116,$L$2:L115,"&gt;"&amp;C116)</f>
        <v>2</v>
      </c>
      <c r="P116" s="5">
        <f t="shared" ca="1" si="35"/>
        <v>0</v>
      </c>
      <c r="Q116" s="5">
        <f t="shared" ca="1" si="36"/>
        <v>0</v>
      </c>
      <c r="R116" s="5">
        <f t="shared" ca="1" si="37"/>
        <v>0</v>
      </c>
      <c r="S116" s="2">
        <f t="shared" ca="1" si="25"/>
        <v>0</v>
      </c>
      <c r="T116" s="4">
        <f t="shared" ca="1" si="26"/>
        <v>0</v>
      </c>
      <c r="U116">
        <f t="shared" ca="1" si="27"/>
        <v>1</v>
      </c>
      <c r="V116" s="2"/>
      <c r="W116" s="2"/>
      <c r="X116" s="2"/>
      <c r="Y116" s="2"/>
      <c r="Z116" s="2"/>
      <c r="AA116" s="2"/>
      <c r="AB116" s="1"/>
      <c r="AC116" s="1"/>
      <c r="AD116" s="1"/>
      <c r="AE116" s="1"/>
      <c r="AF116" s="1"/>
      <c r="AG116" s="1"/>
      <c r="AH116" s="1"/>
      <c r="AI116" s="1"/>
    </row>
    <row r="117" spans="1:35" ht="18" x14ac:dyDescent="0.35">
      <c r="A117" s="2">
        <v>116</v>
      </c>
      <c r="B117" s="2">
        <f t="shared" ca="1" si="28"/>
        <v>2.6569437181036597</v>
      </c>
      <c r="C117" s="5">
        <f t="shared" ca="1" si="29"/>
        <v>296.76169328982269</v>
      </c>
      <c r="D117" s="2">
        <f t="shared" ca="1" si="23"/>
        <v>0.79416790289539729</v>
      </c>
      <c r="E117" s="2" t="str">
        <f ca="1">LOOKUP(RAND(),{0,0.4,0.7,0.9},{"DEPOSIT","WITHDRAWAL","INQUIRY","LOAN"})</f>
        <v>INQUIRY</v>
      </c>
      <c r="F117" s="2" t="str">
        <f t="shared" ca="1" si="30"/>
        <v>t3</v>
      </c>
      <c r="G117" s="2">
        <f t="shared" ca="1" si="39"/>
        <v>1</v>
      </c>
      <c r="H117" s="2">
        <f t="shared" ca="1" si="31"/>
        <v>299.99881262504988</v>
      </c>
      <c r="I117" s="2">
        <f t="shared" ca="1" si="32"/>
        <v>296.04306432686627</v>
      </c>
      <c r="J117" s="2">
        <f t="shared" ca="1" si="38"/>
        <v>297.76169328982269</v>
      </c>
      <c r="K117" s="5">
        <f t="shared" ca="1" si="33"/>
        <v>296.76169328982269</v>
      </c>
      <c r="L117" s="2">
        <f t="shared" ca="1" si="40"/>
        <v>297.76169328982269</v>
      </c>
      <c r="M117" s="2">
        <f t="shared" ca="1" si="34"/>
        <v>0</v>
      </c>
      <c r="N117" s="2">
        <f t="shared" ca="1" si="24"/>
        <v>0</v>
      </c>
      <c r="O117" s="2">
        <f ca="1">COUNTIFS($C$2:C116,"&lt;="&amp;C117,$L$2:L116,"&gt;"&amp;C117)</f>
        <v>1</v>
      </c>
      <c r="P117" s="5">
        <f t="shared" ca="1" si="35"/>
        <v>0</v>
      </c>
      <c r="Q117" s="5">
        <f t="shared" ca="1" si="36"/>
        <v>0.71862896295641576</v>
      </c>
      <c r="R117" s="5">
        <f t="shared" ca="1" si="37"/>
        <v>0</v>
      </c>
      <c r="S117" s="2">
        <f t="shared" ca="1" si="25"/>
        <v>0</v>
      </c>
      <c r="T117" s="4">
        <f t="shared" ca="1" si="26"/>
        <v>0</v>
      </c>
      <c r="U117">
        <f t="shared" ca="1" si="27"/>
        <v>1</v>
      </c>
      <c r="V117" s="2"/>
      <c r="W117" s="2"/>
      <c r="X117" s="2"/>
      <c r="Y117" s="2"/>
      <c r="Z117" s="2"/>
      <c r="AA117" s="2"/>
      <c r="AB117" s="1"/>
      <c r="AC117" s="1"/>
      <c r="AD117" s="1"/>
      <c r="AE117" s="1"/>
      <c r="AF117" s="1"/>
      <c r="AG117" s="1"/>
      <c r="AH117" s="1"/>
      <c r="AI117" s="1"/>
    </row>
    <row r="118" spans="1:35" ht="18" x14ac:dyDescent="0.35">
      <c r="A118" s="2">
        <v>117</v>
      </c>
      <c r="B118" s="2">
        <f t="shared" ca="1" si="28"/>
        <v>2.155045737997912</v>
      </c>
      <c r="C118" s="5">
        <f t="shared" ca="1" si="29"/>
        <v>298.9167390278206</v>
      </c>
      <c r="D118" s="2">
        <f t="shared" ca="1" si="23"/>
        <v>0.8105483763520166</v>
      </c>
      <c r="E118" s="2" t="str">
        <f ca="1">LOOKUP(RAND(),{0,0.4,0.7,0.9},{"DEPOSIT","WITHDRAWAL","INQUIRY","LOAN"})</f>
        <v>LOAN</v>
      </c>
      <c r="F118" s="2" t="str">
        <f t="shared" ca="1" si="30"/>
        <v>t2</v>
      </c>
      <c r="G118" s="2">
        <f t="shared" ca="1" si="39"/>
        <v>2.5205310304810222</v>
      </c>
      <c r="H118" s="2">
        <f t="shared" ca="1" si="31"/>
        <v>299.99881262504988</v>
      </c>
      <c r="I118" s="2">
        <f t="shared" ca="1" si="32"/>
        <v>301.43727005830164</v>
      </c>
      <c r="J118" s="2">
        <f t="shared" ca="1" si="38"/>
        <v>297.76169328982269</v>
      </c>
      <c r="K118" s="5">
        <f t="shared" ca="1" si="33"/>
        <v>298.9167390278206</v>
      </c>
      <c r="L118" s="2">
        <f t="shared" ca="1" si="40"/>
        <v>301.43727005830164</v>
      </c>
      <c r="M118" s="2">
        <f t="shared" ca="1" si="34"/>
        <v>0</v>
      </c>
      <c r="N118" s="2">
        <f t="shared" ca="1" si="24"/>
        <v>0</v>
      </c>
      <c r="O118" s="2">
        <f ca="1">COUNTIFS($C$2:C117,"&lt;="&amp;C118,$L$2:L117,"&gt;"&amp;C118)</f>
        <v>1</v>
      </c>
      <c r="P118" s="5">
        <f t="shared" ca="1" si="35"/>
        <v>0</v>
      </c>
      <c r="Q118" s="5">
        <f t="shared" ca="1" si="36"/>
        <v>0</v>
      </c>
      <c r="R118" s="5">
        <f t="shared" ca="1" si="37"/>
        <v>1.1550457379979093</v>
      </c>
      <c r="S118" s="2">
        <f t="shared" ca="1" si="25"/>
        <v>0</v>
      </c>
      <c r="T118" s="4">
        <f t="shared" ca="1" si="26"/>
        <v>2.5205310304810222</v>
      </c>
      <c r="U118">
        <f t="shared" ca="1" si="27"/>
        <v>0</v>
      </c>
      <c r="V118" s="2"/>
      <c r="W118" s="2"/>
      <c r="X118" s="2"/>
      <c r="Y118" s="2"/>
      <c r="Z118" s="2"/>
      <c r="AA118" s="2"/>
      <c r="AB118" s="1"/>
      <c r="AC118" s="1"/>
      <c r="AD118" s="1"/>
      <c r="AE118" s="1"/>
      <c r="AF118" s="1"/>
      <c r="AG118" s="1"/>
      <c r="AH118" s="1"/>
      <c r="AI118" s="1"/>
    </row>
    <row r="119" spans="1:35" ht="18" x14ac:dyDescent="0.35">
      <c r="A119" s="2">
        <v>118</v>
      </c>
      <c r="B119" s="2">
        <f t="shared" ca="1" si="28"/>
        <v>2.5954492335603501</v>
      </c>
      <c r="C119" s="5">
        <f t="shared" ca="1" si="29"/>
        <v>301.51218826138097</v>
      </c>
      <c r="D119" s="2">
        <f t="shared" ca="1" si="23"/>
        <v>0.90864313588458634</v>
      </c>
      <c r="E119" s="2" t="str">
        <f ca="1">LOOKUP(RAND(),{0,0.4,0.7,0.9},{"DEPOSIT","WITHDRAWAL","INQUIRY","LOAN"})</f>
        <v>DEPOSIT</v>
      </c>
      <c r="F119" s="2" t="str">
        <f t="shared" ca="1" si="30"/>
        <v>t1</v>
      </c>
      <c r="G119" s="2">
        <f t="shared" ca="1" si="39"/>
        <v>1</v>
      </c>
      <c r="H119" s="2">
        <f t="shared" ca="1" si="31"/>
        <v>302.51218826138097</v>
      </c>
      <c r="I119" s="2">
        <f t="shared" ca="1" si="32"/>
        <v>301.43727005830164</v>
      </c>
      <c r="J119" s="2">
        <f t="shared" ca="1" si="38"/>
        <v>297.76169328982269</v>
      </c>
      <c r="K119" s="5">
        <f t="shared" ca="1" si="33"/>
        <v>301.51218826138097</v>
      </c>
      <c r="L119" s="2">
        <f t="shared" ca="1" si="40"/>
        <v>302.51218826138097</v>
      </c>
      <c r="M119" s="2">
        <f t="shared" ca="1" si="34"/>
        <v>0</v>
      </c>
      <c r="N119" s="2">
        <f t="shared" ca="1" si="24"/>
        <v>0</v>
      </c>
      <c r="O119" s="2">
        <f ca="1">COUNTIFS($C$2:C118,"&lt;="&amp;C119,$L$2:L118,"&gt;"&amp;C119)</f>
        <v>0</v>
      </c>
      <c r="P119" s="5">
        <f t="shared" ca="1" si="35"/>
        <v>0</v>
      </c>
      <c r="Q119" s="5">
        <f t="shared" ca="1" si="36"/>
        <v>7.4918203079334944E-2</v>
      </c>
      <c r="R119" s="5">
        <f t="shared" ca="1" si="37"/>
        <v>3.7504949715582825</v>
      </c>
      <c r="S119" s="2">
        <f t="shared" ca="1" si="25"/>
        <v>1</v>
      </c>
      <c r="T119" s="4">
        <f t="shared" ca="1" si="26"/>
        <v>0</v>
      </c>
      <c r="U119">
        <f t="shared" ca="1" si="27"/>
        <v>0</v>
      </c>
      <c r="V119" s="2"/>
      <c r="W119" s="2"/>
      <c r="X119" s="2"/>
      <c r="Y119" s="2"/>
      <c r="Z119" s="2"/>
      <c r="AA119" s="2"/>
      <c r="AB119" s="1"/>
      <c r="AC119" s="1"/>
      <c r="AD119" s="1"/>
      <c r="AE119" s="1"/>
      <c r="AF119" s="1"/>
      <c r="AG119" s="1"/>
      <c r="AH119" s="1"/>
      <c r="AI119" s="1"/>
    </row>
    <row r="120" spans="1:35" ht="18" x14ac:dyDescent="0.35">
      <c r="A120" s="2">
        <v>119</v>
      </c>
      <c r="B120" s="2">
        <f t="shared" ca="1" si="28"/>
        <v>5.7126747428855333</v>
      </c>
      <c r="C120" s="5">
        <f t="shared" ca="1" si="29"/>
        <v>307.22486300426652</v>
      </c>
      <c r="D120" s="2">
        <f t="shared" ca="1" si="23"/>
        <v>0.62539070462315705</v>
      </c>
      <c r="E120" s="2" t="str">
        <f ca="1">LOOKUP(RAND(),{0,0.4,0.7,0.9},{"DEPOSIT","WITHDRAWAL","INQUIRY","LOAN"})</f>
        <v>INQUIRY</v>
      </c>
      <c r="F120" s="2" t="str">
        <f t="shared" ca="1" si="30"/>
        <v>t1</v>
      </c>
      <c r="G120" s="2">
        <f t="shared" ca="1" si="39"/>
        <v>1.8775147886376948</v>
      </c>
      <c r="H120" s="2">
        <f t="shared" ca="1" si="31"/>
        <v>309.10237779290424</v>
      </c>
      <c r="I120" s="2">
        <f t="shared" ca="1" si="32"/>
        <v>301.43727005830164</v>
      </c>
      <c r="J120" s="2">
        <f t="shared" ca="1" si="38"/>
        <v>297.76169328982269</v>
      </c>
      <c r="K120" s="5">
        <f t="shared" ca="1" si="33"/>
        <v>307.22486300426652</v>
      </c>
      <c r="L120" s="2">
        <f t="shared" ca="1" si="40"/>
        <v>309.10237779290424</v>
      </c>
      <c r="M120" s="2">
        <f t="shared" ca="1" si="34"/>
        <v>0</v>
      </c>
      <c r="N120" s="2">
        <f t="shared" ca="1" si="24"/>
        <v>0</v>
      </c>
      <c r="O120" s="2">
        <f ca="1">COUNTIFS($C$2:C119,"&lt;="&amp;C120,$L$2:L119,"&gt;"&amp;C120)</f>
        <v>0</v>
      </c>
      <c r="P120" s="5">
        <f t="shared" ca="1" si="35"/>
        <v>0</v>
      </c>
      <c r="Q120" s="5">
        <f t="shared" ca="1" si="36"/>
        <v>5.7875929459648887</v>
      </c>
      <c r="R120" s="5">
        <f t="shared" ca="1" si="37"/>
        <v>9.4631697144438363</v>
      </c>
      <c r="S120" s="2">
        <f t="shared" ca="1" si="25"/>
        <v>1.8775147886376948</v>
      </c>
      <c r="T120" s="4">
        <f t="shared" ca="1" si="26"/>
        <v>0</v>
      </c>
      <c r="U120">
        <f t="shared" ca="1" si="27"/>
        <v>0</v>
      </c>
      <c r="V120" s="2"/>
      <c r="W120" s="2"/>
      <c r="X120" s="2"/>
      <c r="Y120" s="2"/>
      <c r="Z120" s="2"/>
      <c r="AA120" s="2"/>
      <c r="AB120" s="1"/>
      <c r="AC120" s="1"/>
      <c r="AD120" s="1"/>
      <c r="AE120" s="1"/>
      <c r="AF120" s="1"/>
      <c r="AG120" s="1"/>
      <c r="AH120" s="1"/>
      <c r="AI120" s="1"/>
    </row>
    <row r="121" spans="1:35" ht="18" x14ac:dyDescent="0.35">
      <c r="A121" s="2">
        <v>120</v>
      </c>
      <c r="B121" s="2">
        <f t="shared" ca="1" si="28"/>
        <v>4.2862004944185648</v>
      </c>
      <c r="C121" s="5">
        <f t="shared" ca="1" si="29"/>
        <v>311.51106349868508</v>
      </c>
      <c r="D121" s="2">
        <f t="shared" ca="1" si="23"/>
        <v>0.32677809469211994</v>
      </c>
      <c r="E121" s="2" t="str">
        <f ca="1">LOOKUP(RAND(),{0,0.4,0.7,0.9},{"DEPOSIT","WITHDRAWAL","INQUIRY","LOAN"})</f>
        <v>LOAN</v>
      </c>
      <c r="F121" s="2" t="str">
        <f t="shared" ca="1" si="30"/>
        <v>t1</v>
      </c>
      <c r="G121" s="2">
        <f t="shared" ca="1" si="39"/>
        <v>13.421687375385069</v>
      </c>
      <c r="H121" s="2">
        <f t="shared" ca="1" si="31"/>
        <v>324.93275087407017</v>
      </c>
      <c r="I121" s="2">
        <f t="shared" ca="1" si="32"/>
        <v>301.43727005830164</v>
      </c>
      <c r="J121" s="2">
        <f t="shared" ca="1" si="38"/>
        <v>297.76169328982269</v>
      </c>
      <c r="K121" s="5">
        <f t="shared" ca="1" si="33"/>
        <v>311.51106349868508</v>
      </c>
      <c r="L121" s="2">
        <f t="shared" ca="1" si="40"/>
        <v>324.93275087407017</v>
      </c>
      <c r="M121" s="2">
        <f t="shared" ca="1" si="34"/>
        <v>0</v>
      </c>
      <c r="N121" s="2">
        <f t="shared" ca="1" si="24"/>
        <v>0</v>
      </c>
      <c r="O121" s="2">
        <f ca="1">COUNTIFS($C$2:C120,"&lt;="&amp;C121,$L$2:L120,"&gt;"&amp;C121)</f>
        <v>0</v>
      </c>
      <c r="P121" s="5">
        <f t="shared" ca="1" si="35"/>
        <v>0</v>
      </c>
      <c r="Q121" s="5">
        <f t="shared" ca="1" si="36"/>
        <v>10.07379344038344</v>
      </c>
      <c r="R121" s="5">
        <f t="shared" ca="1" si="37"/>
        <v>13.749370208862388</v>
      </c>
      <c r="S121" s="2">
        <f t="shared" ca="1" si="25"/>
        <v>13.421687375385069</v>
      </c>
      <c r="T121" s="4">
        <f t="shared" ca="1" si="26"/>
        <v>0</v>
      </c>
      <c r="U121">
        <f t="shared" ca="1" si="27"/>
        <v>0</v>
      </c>
      <c r="V121" s="2"/>
      <c r="W121" s="2"/>
      <c r="X121" s="2"/>
      <c r="Y121" s="2"/>
      <c r="Z121" s="2"/>
      <c r="AA121" s="2"/>
      <c r="AB121" s="1"/>
      <c r="AC121" s="1"/>
      <c r="AD121" s="1"/>
      <c r="AE121" s="1"/>
      <c r="AF121" s="1"/>
      <c r="AG121" s="1"/>
      <c r="AH121" s="1"/>
      <c r="AI121" s="1"/>
    </row>
    <row r="122" spans="1:35" ht="18" x14ac:dyDescent="0.35">
      <c r="A122" s="2">
        <v>121</v>
      </c>
      <c r="B122" s="2">
        <f t="shared" ca="1" si="28"/>
        <v>2.5501604765883825</v>
      </c>
      <c r="C122" s="5">
        <f t="shared" ca="1" si="29"/>
        <v>314.06122397527344</v>
      </c>
      <c r="D122" s="2">
        <f t="shared" ca="1" si="23"/>
        <v>5.8222843354062914E-2</v>
      </c>
      <c r="E122" s="2" t="str">
        <f ca="1">LOOKUP(RAND(),{0,0.4,0.7,0.9},{"DEPOSIT","WITHDRAWAL","INQUIRY","LOAN"})</f>
        <v>INQUIRY</v>
      </c>
      <c r="F122" s="2" t="str">
        <f t="shared" ca="1" si="30"/>
        <v>t3</v>
      </c>
      <c r="G122" s="2">
        <f t="shared" ca="1" si="39"/>
        <v>11.373910015036985</v>
      </c>
      <c r="H122" s="2">
        <f t="shared" ca="1" si="31"/>
        <v>324.93275087407017</v>
      </c>
      <c r="I122" s="2">
        <f t="shared" ca="1" si="32"/>
        <v>301.43727005830164</v>
      </c>
      <c r="J122" s="2">
        <f t="shared" ca="1" si="38"/>
        <v>325.43513399031042</v>
      </c>
      <c r="K122" s="5">
        <f t="shared" ca="1" si="33"/>
        <v>314.06122397527344</v>
      </c>
      <c r="L122" s="2">
        <f t="shared" ca="1" si="40"/>
        <v>325.43513399031042</v>
      </c>
      <c r="M122" s="2">
        <f t="shared" ca="1" si="34"/>
        <v>0</v>
      </c>
      <c r="N122" s="2">
        <f t="shared" ca="1" si="24"/>
        <v>0</v>
      </c>
      <c r="O122" s="2">
        <f ca="1">COUNTIFS($C$2:C121,"&lt;="&amp;C122,$L$2:L121,"&gt;"&amp;C122)</f>
        <v>1</v>
      </c>
      <c r="P122" s="5">
        <f t="shared" ca="1" si="35"/>
        <v>0</v>
      </c>
      <c r="Q122" s="5">
        <f t="shared" ca="1" si="36"/>
        <v>12.6239539169718</v>
      </c>
      <c r="R122" s="5">
        <f t="shared" ca="1" si="37"/>
        <v>0</v>
      </c>
      <c r="S122" s="2">
        <f t="shared" ca="1" si="25"/>
        <v>0</v>
      </c>
      <c r="T122" s="4">
        <f t="shared" ca="1" si="26"/>
        <v>0</v>
      </c>
      <c r="U122">
        <f t="shared" ca="1" si="27"/>
        <v>11.373910015036985</v>
      </c>
      <c r="V122" s="2"/>
      <c r="W122" s="2"/>
      <c r="X122" s="2"/>
      <c r="Y122" s="2"/>
      <c r="Z122" s="2"/>
      <c r="AA122" s="2"/>
      <c r="AB122" s="1"/>
      <c r="AC122" s="1"/>
      <c r="AD122" s="1"/>
      <c r="AE122" s="1"/>
      <c r="AF122" s="1"/>
      <c r="AG122" s="1"/>
      <c r="AH122" s="1"/>
      <c r="AI122" s="1"/>
    </row>
    <row r="123" spans="1:35" ht="18" x14ac:dyDescent="0.35">
      <c r="A123" s="2">
        <v>122</v>
      </c>
      <c r="B123" s="2">
        <f t="shared" ca="1" si="28"/>
        <v>4.1868120190939333</v>
      </c>
      <c r="C123" s="5">
        <f t="shared" ca="1" si="29"/>
        <v>318.24803599436734</v>
      </c>
      <c r="D123" s="2">
        <f t="shared" ca="1" si="23"/>
        <v>0.7420453901008508</v>
      </c>
      <c r="E123" s="2" t="str">
        <f ca="1">LOOKUP(RAND(),{0,0.4,0.7,0.9},{"DEPOSIT","WITHDRAWAL","INQUIRY","LOAN"})</f>
        <v>DEPOSIT</v>
      </c>
      <c r="F123" s="2" t="str">
        <f t="shared" ca="1" si="30"/>
        <v>t2</v>
      </c>
      <c r="G123" s="2">
        <f t="shared" ca="1" si="39"/>
        <v>1.4917243252153516</v>
      </c>
      <c r="H123" s="2">
        <f t="shared" ca="1" si="31"/>
        <v>324.93275087407017</v>
      </c>
      <c r="I123" s="2">
        <f t="shared" ca="1" si="32"/>
        <v>319.73976031958267</v>
      </c>
      <c r="J123" s="2">
        <f t="shared" ca="1" si="38"/>
        <v>325.43513399031042</v>
      </c>
      <c r="K123" s="5">
        <f t="shared" ca="1" si="33"/>
        <v>318.24803599436734</v>
      </c>
      <c r="L123" s="2">
        <f t="shared" ca="1" si="40"/>
        <v>319.73976031958267</v>
      </c>
      <c r="M123" s="2">
        <f t="shared" ca="1" si="34"/>
        <v>0</v>
      </c>
      <c r="N123" s="2">
        <f t="shared" ca="1" si="24"/>
        <v>0</v>
      </c>
      <c r="O123" s="2">
        <f ca="1">COUNTIFS($C$2:C122,"&lt;="&amp;C123,$L$2:L122,"&gt;"&amp;C123)</f>
        <v>2</v>
      </c>
      <c r="P123" s="5">
        <f t="shared" ca="1" si="35"/>
        <v>0</v>
      </c>
      <c r="Q123" s="5">
        <f t="shared" ca="1" si="36"/>
        <v>0</v>
      </c>
      <c r="R123" s="5">
        <f t="shared" ca="1" si="37"/>
        <v>0</v>
      </c>
      <c r="S123" s="2">
        <f t="shared" ca="1" si="25"/>
        <v>0</v>
      </c>
      <c r="T123" s="4">
        <f t="shared" ca="1" si="26"/>
        <v>1.4917243252153516</v>
      </c>
      <c r="U123">
        <f t="shared" ca="1" si="27"/>
        <v>0</v>
      </c>
      <c r="V123" s="2"/>
      <c r="W123" s="2"/>
      <c r="X123" s="2"/>
      <c r="Y123" s="2"/>
      <c r="Z123" s="2"/>
      <c r="AA123" s="2"/>
      <c r="AB123" s="1"/>
      <c r="AC123" s="1"/>
      <c r="AD123" s="1"/>
      <c r="AE123" s="1"/>
      <c r="AF123" s="1"/>
      <c r="AG123" s="1"/>
      <c r="AH123" s="1"/>
      <c r="AI123" s="1"/>
    </row>
    <row r="124" spans="1:35" ht="18" x14ac:dyDescent="0.35">
      <c r="A124" s="2">
        <v>123</v>
      </c>
      <c r="B124" s="2">
        <f t="shared" ca="1" si="28"/>
        <v>1.1388797731275935</v>
      </c>
      <c r="C124" s="5">
        <f t="shared" ca="1" si="29"/>
        <v>319.38691576749494</v>
      </c>
      <c r="D124" s="2">
        <f t="shared" ca="1" si="23"/>
        <v>0.81429421192943352</v>
      </c>
      <c r="E124" s="2" t="str">
        <f ca="1">LOOKUP(RAND(),{0,0.4,0.7,0.9},{"DEPOSIT","WITHDRAWAL","INQUIRY","LOAN"})</f>
        <v>DEPOSIT</v>
      </c>
      <c r="F124" s="2" t="str">
        <f t="shared" ca="1" si="30"/>
        <v>t2</v>
      </c>
      <c r="G124" s="2">
        <f t="shared" ca="1" si="39"/>
        <v>1.0271676928322364</v>
      </c>
      <c r="H124" s="2">
        <f t="shared" ca="1" si="31"/>
        <v>324.93275087407017</v>
      </c>
      <c r="I124" s="2">
        <f t="shared" ca="1" si="32"/>
        <v>320.76692801241489</v>
      </c>
      <c r="J124" s="2">
        <f t="shared" ca="1" si="38"/>
        <v>325.43513399031042</v>
      </c>
      <c r="K124" s="5">
        <f t="shared" ca="1" si="33"/>
        <v>319.73976031958267</v>
      </c>
      <c r="L124" s="2">
        <f t="shared" ca="1" si="40"/>
        <v>320.76692801241489</v>
      </c>
      <c r="M124" s="2">
        <f t="shared" ca="1" si="34"/>
        <v>0.35284455208773124</v>
      </c>
      <c r="N124" s="2">
        <f t="shared" ca="1" si="24"/>
        <v>1</v>
      </c>
      <c r="O124" s="2">
        <f ca="1">COUNTIFS($C$2:C123,"&lt;="&amp;C124,$L$2:L123,"&gt;"&amp;C124)</f>
        <v>3</v>
      </c>
      <c r="P124" s="5">
        <f t="shared" ca="1" si="35"/>
        <v>0</v>
      </c>
      <c r="Q124" s="5">
        <f t="shared" ca="1" si="36"/>
        <v>0</v>
      </c>
      <c r="R124" s="5">
        <f t="shared" ca="1" si="37"/>
        <v>0</v>
      </c>
      <c r="S124" s="2">
        <f t="shared" ca="1" si="25"/>
        <v>0</v>
      </c>
      <c r="T124" s="4">
        <f t="shared" ca="1" si="26"/>
        <v>1.0271676928322364</v>
      </c>
      <c r="U124">
        <f t="shared" ca="1" si="27"/>
        <v>0</v>
      </c>
      <c r="V124" s="2"/>
      <c r="W124" s="2"/>
      <c r="X124" s="2"/>
      <c r="Y124" s="2"/>
      <c r="Z124" s="2"/>
      <c r="AA124" s="2"/>
      <c r="AB124" s="1"/>
      <c r="AC124" s="1"/>
      <c r="AD124" s="1"/>
      <c r="AE124" s="1"/>
      <c r="AF124" s="1"/>
      <c r="AG124" s="1"/>
      <c r="AH124" s="1"/>
      <c r="AI124" s="1"/>
    </row>
    <row r="125" spans="1:35" ht="18" x14ac:dyDescent="0.35">
      <c r="A125" s="2">
        <v>124</v>
      </c>
      <c r="B125" s="2">
        <f t="shared" ca="1" si="28"/>
        <v>0.45723420381296831</v>
      </c>
      <c r="C125" s="5">
        <f t="shared" ca="1" si="29"/>
        <v>319.8441499713079</v>
      </c>
      <c r="D125" s="2">
        <f t="shared" ca="1" si="23"/>
        <v>0.63781926280987122</v>
      </c>
      <c r="E125" s="2" t="str">
        <f ca="1">LOOKUP(RAND(),{0,0.4,0.7,0.9},{"DEPOSIT","WITHDRAWAL","INQUIRY","LOAN"})</f>
        <v>WITHDRAWAL</v>
      </c>
      <c r="F125" s="2" t="str">
        <f t="shared" ca="1" si="30"/>
        <v>t2</v>
      </c>
      <c r="G125" s="2">
        <f t="shared" ca="1" si="39"/>
        <v>2.6982019374155382</v>
      </c>
      <c r="H125" s="2">
        <f t="shared" ca="1" si="31"/>
        <v>324.93275087407017</v>
      </c>
      <c r="I125" s="2">
        <f t="shared" ca="1" si="32"/>
        <v>323.46512994983044</v>
      </c>
      <c r="J125" s="2">
        <f t="shared" ca="1" si="38"/>
        <v>325.43513399031042</v>
      </c>
      <c r="K125" s="5">
        <f t="shared" ca="1" si="33"/>
        <v>320.76692801241489</v>
      </c>
      <c r="L125" s="2">
        <f t="shared" ca="1" si="40"/>
        <v>323.46512994983044</v>
      </c>
      <c r="M125" s="2">
        <f t="shared" ca="1" si="34"/>
        <v>0.92277804110699435</v>
      </c>
      <c r="N125" s="2">
        <f t="shared" ca="1" si="24"/>
        <v>1</v>
      </c>
      <c r="O125" s="2">
        <f ca="1">COUNTIFS($C$2:C124,"&lt;="&amp;C125,$L$2:L124,"&gt;"&amp;C125)</f>
        <v>3</v>
      </c>
      <c r="P125" s="5">
        <f t="shared" ca="1" si="35"/>
        <v>0</v>
      </c>
      <c r="Q125" s="5">
        <f t="shared" ca="1" si="36"/>
        <v>0</v>
      </c>
      <c r="R125" s="5">
        <f t="shared" ca="1" si="37"/>
        <v>0</v>
      </c>
      <c r="S125" s="2">
        <f t="shared" ca="1" si="25"/>
        <v>0</v>
      </c>
      <c r="T125" s="4">
        <f t="shared" ca="1" si="26"/>
        <v>2.6982019374155382</v>
      </c>
      <c r="U125">
        <f t="shared" ca="1" si="27"/>
        <v>0</v>
      </c>
      <c r="V125" s="2"/>
      <c r="W125" s="2"/>
      <c r="X125" s="2"/>
      <c r="Y125" s="2"/>
      <c r="Z125" s="2"/>
      <c r="AA125" s="2"/>
      <c r="AB125" s="1"/>
      <c r="AC125" s="1"/>
      <c r="AD125" s="1"/>
      <c r="AE125" s="1"/>
      <c r="AF125" s="1"/>
      <c r="AG125" s="1"/>
      <c r="AH125" s="1"/>
      <c r="AI125" s="1"/>
    </row>
    <row r="126" spans="1:35" ht="18" x14ac:dyDescent="0.35">
      <c r="A126" s="2">
        <v>125</v>
      </c>
      <c r="B126" s="2">
        <f t="shared" ca="1" si="28"/>
        <v>0.25990292846678253</v>
      </c>
      <c r="C126" s="5">
        <f t="shared" ca="1" si="29"/>
        <v>320.10405289977467</v>
      </c>
      <c r="D126" s="2">
        <f t="shared" ca="1" si="23"/>
        <v>0.26978561151203417</v>
      </c>
      <c r="E126" s="2" t="str">
        <f ca="1">LOOKUP(RAND(),{0,0.4,0.7,0.9},{"DEPOSIT","WITHDRAWAL","INQUIRY","LOAN"})</f>
        <v>DEPOSIT</v>
      </c>
      <c r="F126" s="2" t="str">
        <f t="shared" ca="1" si="30"/>
        <v>t2</v>
      </c>
      <c r="G126" s="2">
        <f t="shared" ca="1" si="39"/>
        <v>6.5506383341530441</v>
      </c>
      <c r="H126" s="2">
        <f t="shared" ca="1" si="31"/>
        <v>324.93275087407017</v>
      </c>
      <c r="I126" s="2">
        <f t="shared" ca="1" si="32"/>
        <v>330.0157682839835</v>
      </c>
      <c r="J126" s="2">
        <f t="shared" ca="1" si="38"/>
        <v>325.43513399031042</v>
      </c>
      <c r="K126" s="5">
        <f t="shared" ca="1" si="33"/>
        <v>323.46512994983044</v>
      </c>
      <c r="L126" s="2">
        <f t="shared" ca="1" si="40"/>
        <v>330.0157682839835</v>
      </c>
      <c r="M126" s="2">
        <f t="shared" ca="1" si="34"/>
        <v>3.3610770500557692</v>
      </c>
      <c r="N126" s="2">
        <f t="shared" ca="1" si="24"/>
        <v>1</v>
      </c>
      <c r="O126" s="2">
        <f ca="1">COUNTIFS($C$2:C125,"&lt;="&amp;C126,$L$2:L125,"&gt;"&amp;C126)</f>
        <v>4</v>
      </c>
      <c r="P126" s="5">
        <f t="shared" ca="1" si="35"/>
        <v>0</v>
      </c>
      <c r="Q126" s="5">
        <f t="shared" ca="1" si="36"/>
        <v>0</v>
      </c>
      <c r="R126" s="5">
        <f t="shared" ca="1" si="37"/>
        <v>0</v>
      </c>
      <c r="S126" s="2">
        <f t="shared" ca="1" si="25"/>
        <v>0</v>
      </c>
      <c r="T126" s="4">
        <f t="shared" ca="1" si="26"/>
        <v>6.5506383341530441</v>
      </c>
      <c r="U126">
        <f t="shared" ca="1" si="27"/>
        <v>0</v>
      </c>
      <c r="V126" s="2"/>
      <c r="W126" s="2"/>
      <c r="X126" s="2"/>
      <c r="Y126" s="2"/>
      <c r="Z126" s="2"/>
      <c r="AA126" s="2"/>
      <c r="AB126" s="1"/>
      <c r="AC126" s="1"/>
      <c r="AD126" s="1"/>
      <c r="AE126" s="1"/>
      <c r="AF126" s="1"/>
      <c r="AG126" s="1"/>
      <c r="AH126" s="1"/>
      <c r="AI126" s="1"/>
    </row>
    <row r="127" spans="1:35" ht="18" x14ac:dyDescent="0.35">
      <c r="A127" s="2">
        <v>126</v>
      </c>
      <c r="B127" s="2">
        <f t="shared" ca="1" si="28"/>
        <v>1.9634638151445916</v>
      </c>
      <c r="C127" s="5">
        <f t="shared" ca="1" si="29"/>
        <v>322.06751671491924</v>
      </c>
      <c r="D127" s="2">
        <f t="shared" ca="1" si="23"/>
        <v>0.67851421831556413</v>
      </c>
      <c r="E127" s="2" t="str">
        <f ca="1">LOOKUP(RAND(),{0,0.4,0.7,0.9},{"DEPOSIT","WITHDRAWAL","INQUIRY","LOAN"})</f>
        <v>DEPOSIT</v>
      </c>
      <c r="F127" s="2" t="str">
        <f t="shared" ca="1" si="30"/>
        <v>t1</v>
      </c>
      <c r="G127" s="2">
        <f t="shared" ca="1" si="39"/>
        <v>1.9392492220689315</v>
      </c>
      <c r="H127" s="2">
        <f t="shared" ca="1" si="31"/>
        <v>326.87200009613912</v>
      </c>
      <c r="I127" s="2">
        <f t="shared" ca="1" si="32"/>
        <v>330.0157682839835</v>
      </c>
      <c r="J127" s="2">
        <f t="shared" ca="1" si="38"/>
        <v>325.43513399031042</v>
      </c>
      <c r="K127" s="5">
        <f t="shared" ca="1" si="33"/>
        <v>324.93275087407017</v>
      </c>
      <c r="L127" s="2">
        <f t="shared" ca="1" si="40"/>
        <v>326.87200009613912</v>
      </c>
      <c r="M127" s="2">
        <f t="shared" ca="1" si="34"/>
        <v>2.8652341591509298</v>
      </c>
      <c r="N127" s="2">
        <f t="shared" ca="1" si="24"/>
        <v>1</v>
      </c>
      <c r="O127" s="2">
        <f ca="1">COUNTIFS($C$2:C126,"&lt;="&amp;C127,$L$2:L126,"&gt;"&amp;C127)</f>
        <v>4</v>
      </c>
      <c r="P127" s="5">
        <f t="shared" ca="1" si="35"/>
        <v>0</v>
      </c>
      <c r="Q127" s="5">
        <f t="shared" ca="1" si="36"/>
        <v>0</v>
      </c>
      <c r="R127" s="5">
        <f t="shared" ca="1" si="37"/>
        <v>0</v>
      </c>
      <c r="S127" s="2">
        <f t="shared" ca="1" si="25"/>
        <v>1.9392492220689315</v>
      </c>
      <c r="T127" s="4">
        <f t="shared" ca="1" si="26"/>
        <v>0</v>
      </c>
      <c r="U127">
        <f t="shared" ca="1" si="27"/>
        <v>0</v>
      </c>
      <c r="V127" s="2"/>
      <c r="W127" s="2"/>
      <c r="X127" s="2"/>
      <c r="Y127" s="2"/>
      <c r="Z127" s="2"/>
      <c r="AA127" s="2"/>
      <c r="AB127" s="1"/>
      <c r="AC127" s="1"/>
      <c r="AD127" s="1"/>
      <c r="AE127" s="1"/>
      <c r="AF127" s="1"/>
      <c r="AG127" s="1"/>
      <c r="AH127" s="1"/>
      <c r="AI127" s="1"/>
    </row>
    <row r="128" spans="1:35" ht="18" x14ac:dyDescent="0.35">
      <c r="A128" s="2">
        <v>127</v>
      </c>
      <c r="B128" s="2">
        <f t="shared" ca="1" si="28"/>
        <v>4.4942530853386868</v>
      </c>
      <c r="C128" s="5">
        <f t="shared" ca="1" si="29"/>
        <v>326.56176980025793</v>
      </c>
      <c r="D128" s="2">
        <f t="shared" ca="1" si="23"/>
        <v>0.476809561570673</v>
      </c>
      <c r="E128" s="2" t="str">
        <f ca="1">LOOKUP(RAND(),{0,0.4,0.7,0.9},{"DEPOSIT","WITHDRAWAL","INQUIRY","LOAN"})</f>
        <v>DEPOSIT</v>
      </c>
      <c r="F128" s="2" t="str">
        <f t="shared" ca="1" si="30"/>
        <v>t3</v>
      </c>
      <c r="G128" s="2">
        <f t="shared" ca="1" si="39"/>
        <v>3.7031905490115058</v>
      </c>
      <c r="H128" s="2">
        <f t="shared" ca="1" si="31"/>
        <v>326.87200009613912</v>
      </c>
      <c r="I128" s="2">
        <f t="shared" ca="1" si="32"/>
        <v>330.0157682839835</v>
      </c>
      <c r="J128" s="2">
        <f t="shared" ca="1" si="38"/>
        <v>330.26496034926942</v>
      </c>
      <c r="K128" s="5">
        <f t="shared" ca="1" si="33"/>
        <v>326.56176980025793</v>
      </c>
      <c r="L128" s="2">
        <f t="shared" ca="1" si="40"/>
        <v>330.26496034926942</v>
      </c>
      <c r="M128" s="2">
        <f t="shared" ca="1" si="34"/>
        <v>0</v>
      </c>
      <c r="N128" s="2">
        <f t="shared" ca="1" si="24"/>
        <v>0</v>
      </c>
      <c r="O128" s="2">
        <f ca="1">COUNTIFS($C$2:C127,"&lt;="&amp;C128,$L$2:L127,"&gt;"&amp;C128)</f>
        <v>2</v>
      </c>
      <c r="P128" s="5">
        <f t="shared" ca="1" si="35"/>
        <v>0</v>
      </c>
      <c r="Q128" s="5">
        <f t="shared" ca="1" si="36"/>
        <v>0</v>
      </c>
      <c r="R128" s="5">
        <f t="shared" ca="1" si="37"/>
        <v>0</v>
      </c>
      <c r="S128" s="2">
        <f t="shared" ca="1" si="25"/>
        <v>0</v>
      </c>
      <c r="T128" s="4">
        <f t="shared" ca="1" si="26"/>
        <v>0</v>
      </c>
      <c r="U128">
        <f t="shared" ca="1" si="27"/>
        <v>3.7031905490115058</v>
      </c>
      <c r="V128" s="2"/>
      <c r="W128" s="2"/>
      <c r="X128" s="2"/>
      <c r="Y128" s="2"/>
      <c r="Z128" s="2"/>
      <c r="AA128" s="2"/>
      <c r="AB128" s="1"/>
      <c r="AC128" s="1"/>
      <c r="AD128" s="1"/>
      <c r="AE128" s="1"/>
      <c r="AF128" s="1"/>
      <c r="AG128" s="1"/>
      <c r="AH128" s="1"/>
      <c r="AI128" s="1"/>
    </row>
    <row r="129" spans="1:35" ht="18" x14ac:dyDescent="0.35">
      <c r="A129" s="2">
        <v>128</v>
      </c>
      <c r="B129" s="2">
        <f t="shared" ca="1" si="28"/>
        <v>2.2684686862575618</v>
      </c>
      <c r="C129" s="5">
        <f t="shared" ca="1" si="29"/>
        <v>328.8302384865155</v>
      </c>
      <c r="D129" s="2">
        <f t="shared" ca="1" si="23"/>
        <v>6.2363917744573394E-3</v>
      </c>
      <c r="E129" s="2" t="str">
        <f ca="1">LOOKUP(RAND(),{0,0.4,0.7,0.9},{"DEPOSIT","WITHDRAWAL","INQUIRY","LOAN"})</f>
        <v>WITHDRAWAL</v>
      </c>
      <c r="F129" s="2" t="str">
        <f t="shared" ca="1" si="30"/>
        <v>t1</v>
      </c>
      <c r="G129" s="2">
        <f t="shared" ca="1" si="39"/>
        <v>30.464121030717738</v>
      </c>
      <c r="H129" s="2">
        <f t="shared" ca="1" si="31"/>
        <v>359.29435951723326</v>
      </c>
      <c r="I129" s="2">
        <f t="shared" ca="1" si="32"/>
        <v>330.0157682839835</v>
      </c>
      <c r="J129" s="2">
        <f t="shared" ca="1" si="38"/>
        <v>330.26496034926942</v>
      </c>
      <c r="K129" s="5">
        <f t="shared" ca="1" si="33"/>
        <v>328.8302384865155</v>
      </c>
      <c r="L129" s="2">
        <f t="shared" ca="1" si="40"/>
        <v>359.29435951723326</v>
      </c>
      <c r="M129" s="2">
        <f t="shared" ca="1" si="34"/>
        <v>0</v>
      </c>
      <c r="N129" s="2">
        <f t="shared" ca="1" si="24"/>
        <v>0</v>
      </c>
      <c r="O129" s="2">
        <f ca="1">COUNTIFS($C$2:C128,"&lt;="&amp;C129,$L$2:L128,"&gt;"&amp;C129)</f>
        <v>2</v>
      </c>
      <c r="P129" s="5">
        <f t="shared" ca="1" si="35"/>
        <v>0</v>
      </c>
      <c r="Q129" s="5">
        <f t="shared" ca="1" si="36"/>
        <v>0</v>
      </c>
      <c r="R129" s="5">
        <f t="shared" ca="1" si="37"/>
        <v>0</v>
      </c>
      <c r="S129" s="2">
        <f t="shared" ca="1" si="25"/>
        <v>30.464121030717738</v>
      </c>
      <c r="T129" s="4">
        <f t="shared" ca="1" si="26"/>
        <v>0</v>
      </c>
      <c r="U129">
        <f t="shared" ca="1" si="27"/>
        <v>0</v>
      </c>
      <c r="V129" s="2"/>
      <c r="W129" s="2"/>
      <c r="X129" s="2"/>
      <c r="Y129" s="2"/>
      <c r="Z129" s="2"/>
      <c r="AA129" s="2"/>
      <c r="AB129" s="1"/>
      <c r="AC129" s="1"/>
      <c r="AD129" s="1"/>
      <c r="AE129" s="1"/>
      <c r="AF129" s="1"/>
      <c r="AG129" s="1"/>
      <c r="AH129" s="1"/>
      <c r="AI129" s="1"/>
    </row>
    <row r="130" spans="1:35" ht="18" x14ac:dyDescent="0.35">
      <c r="A130" s="2">
        <v>129</v>
      </c>
      <c r="B130" s="2">
        <f t="shared" ca="1" si="28"/>
        <v>0.61705013688755228</v>
      </c>
      <c r="C130" s="5">
        <f t="shared" ca="1" si="29"/>
        <v>329.44728862340304</v>
      </c>
      <c r="D130" s="2">
        <f t="shared" ca="1" si="23"/>
        <v>0.34065869060023057</v>
      </c>
      <c r="E130" s="2" t="str">
        <f ca="1">LOOKUP(RAND(),{0,0.4,0.7,0.9},{"DEPOSIT","WITHDRAWAL","INQUIRY","LOAN"})</f>
        <v>WITHDRAWAL</v>
      </c>
      <c r="F130" s="2" t="str">
        <f t="shared" ca="1" si="30"/>
        <v>t2</v>
      </c>
      <c r="G130" s="2">
        <f t="shared" ref="G130:G161" ca="1" si="41">IF(E130="DEPOSIT",MAX(1,-5*LN(D130)),IF(E130="WITHDRAWAL",MAX(1,-6*LN(D130)),IF(E130="INQUIRY",MAX(1,-4*LN(D130)),MAX(1,-12*LN(D130)))))</f>
        <v>6.4612452616293439</v>
      </c>
      <c r="H130" s="2">
        <f t="shared" ca="1" si="31"/>
        <v>359.29435951723326</v>
      </c>
      <c r="I130" s="2">
        <f t="shared" ca="1" si="32"/>
        <v>336.47701354561286</v>
      </c>
      <c r="J130" s="2">
        <f t="shared" ca="1" si="38"/>
        <v>330.26496034926942</v>
      </c>
      <c r="K130" s="5">
        <f t="shared" ca="1" si="33"/>
        <v>330.0157682839835</v>
      </c>
      <c r="L130" s="2">
        <f t="shared" ref="L130:L161" ca="1" si="42">K130+G130</f>
        <v>336.47701354561286</v>
      </c>
      <c r="M130" s="2">
        <f t="shared" ca="1" si="34"/>
        <v>0.56847966058046495</v>
      </c>
      <c r="N130" s="2">
        <f t="shared" ca="1" si="24"/>
        <v>1</v>
      </c>
      <c r="O130" s="2">
        <f ca="1">COUNTIFS($C$2:C129,"&lt;="&amp;C130,$L$2:L129,"&gt;"&amp;C130)</f>
        <v>3</v>
      </c>
      <c r="P130" s="5">
        <f t="shared" ca="1" si="35"/>
        <v>0</v>
      </c>
      <c r="Q130" s="5">
        <f t="shared" ca="1" si="36"/>
        <v>0</v>
      </c>
      <c r="R130" s="5">
        <f t="shared" ca="1" si="37"/>
        <v>0</v>
      </c>
      <c r="S130" s="2">
        <f t="shared" ca="1" si="25"/>
        <v>0</v>
      </c>
      <c r="T130" s="4">
        <f t="shared" ca="1" si="26"/>
        <v>6.4612452616293439</v>
      </c>
      <c r="U130">
        <f t="shared" ca="1" si="27"/>
        <v>0</v>
      </c>
      <c r="V130" s="2"/>
      <c r="W130" s="2"/>
      <c r="X130" s="2"/>
      <c r="Y130" s="2"/>
      <c r="Z130" s="2"/>
      <c r="AA130" s="2"/>
      <c r="AB130" s="1"/>
      <c r="AC130" s="1"/>
      <c r="AD130" s="1"/>
      <c r="AE130" s="1"/>
      <c r="AF130" s="1"/>
      <c r="AG130" s="1"/>
      <c r="AH130" s="1"/>
      <c r="AI130" s="1"/>
    </row>
    <row r="131" spans="1:35" ht="18" x14ac:dyDescent="0.35">
      <c r="A131" s="2">
        <v>130</v>
      </c>
      <c r="B131" s="2">
        <f t="shared" ca="1" si="28"/>
        <v>1.2131965978536909</v>
      </c>
      <c r="C131" s="5">
        <f t="shared" ca="1" si="29"/>
        <v>330.66048522125675</v>
      </c>
      <c r="D131" s="2">
        <f t="shared" ref="D131:D161" ca="1" si="43">RAND()</f>
        <v>0.49563534266524001</v>
      </c>
      <c r="E131" s="2" t="str">
        <f ca="1">LOOKUP(RAND(),{0,0.4,0.7,0.9},{"DEPOSIT","WITHDRAWAL","INQUIRY","LOAN"})</f>
        <v>DEPOSIT</v>
      </c>
      <c r="F131" s="2" t="str">
        <f t="shared" ca="1" si="30"/>
        <v>t3</v>
      </c>
      <c r="G131" s="2">
        <f t="shared" ca="1" si="41"/>
        <v>3.5095740944296727</v>
      </c>
      <c r="H131" s="2">
        <f t="shared" ca="1" si="31"/>
        <v>359.29435951723326</v>
      </c>
      <c r="I131" s="2">
        <f t="shared" ca="1" si="32"/>
        <v>336.47701354561286</v>
      </c>
      <c r="J131" s="2">
        <f t="shared" ca="1" si="38"/>
        <v>334.17005931568644</v>
      </c>
      <c r="K131" s="5">
        <f t="shared" ca="1" si="33"/>
        <v>330.66048522125675</v>
      </c>
      <c r="L131" s="2">
        <f t="shared" ca="1" si="42"/>
        <v>334.17005931568644</v>
      </c>
      <c r="M131" s="2">
        <f t="shared" ca="1" si="34"/>
        <v>0</v>
      </c>
      <c r="N131" s="2">
        <f t="shared" ref="N131:N161" ca="1" si="44">IF(M131=0,0,1)</f>
        <v>0</v>
      </c>
      <c r="O131" s="2">
        <f ca="1">COUNTIFS($C$2:C130,"&lt;="&amp;C131,$L$2:L130,"&gt;"&amp;C131)</f>
        <v>2</v>
      </c>
      <c r="P131" s="5">
        <f t="shared" ca="1" si="35"/>
        <v>0</v>
      </c>
      <c r="Q131" s="5">
        <f t="shared" ca="1" si="36"/>
        <v>0</v>
      </c>
      <c r="R131" s="5">
        <f t="shared" ca="1" si="37"/>
        <v>0</v>
      </c>
      <c r="S131" s="2">
        <f t="shared" ref="S131:S161" ca="1" si="45">IF(F131="t1",G131,0)</f>
        <v>0</v>
      </c>
      <c r="T131" s="4">
        <f t="shared" ref="T131:T161" ca="1" si="46">IF(F131="t2",G131,0)</f>
        <v>0</v>
      </c>
      <c r="U131">
        <f t="shared" ref="U131:U161" ca="1" si="47">IF(F131="t3",G131,0)</f>
        <v>3.5095740944296727</v>
      </c>
      <c r="V131" s="2"/>
      <c r="W131" s="2"/>
      <c r="X131" s="2"/>
      <c r="Y131" s="2"/>
      <c r="Z131" s="2"/>
      <c r="AA131" s="2"/>
      <c r="AB131" s="1"/>
      <c r="AC131" s="1"/>
      <c r="AD131" s="1"/>
      <c r="AE131" s="1"/>
      <c r="AF131" s="1"/>
      <c r="AG131" s="1"/>
      <c r="AH131" s="1"/>
      <c r="AI131" s="1"/>
    </row>
    <row r="132" spans="1:35" ht="18" x14ac:dyDescent="0.35">
      <c r="A132" s="2">
        <v>131</v>
      </c>
      <c r="B132" s="2">
        <f t="shared" ref="B132:B161" ca="1" si="48">-LN(1-RAND())/(20/60)</f>
        <v>0.84569233641723696</v>
      </c>
      <c r="C132" s="5">
        <f t="shared" ref="C132:C161" ca="1" si="49">C131+B132</f>
        <v>331.50617755767399</v>
      </c>
      <c r="D132" s="2">
        <f t="shared" ca="1" si="43"/>
        <v>0.76578572385731469</v>
      </c>
      <c r="E132" s="2" t="str">
        <f ca="1">LOOKUP(RAND(),{0,0.4,0.7,0.9},{"DEPOSIT","WITHDRAWAL","INQUIRY","LOAN"})</f>
        <v>INQUIRY</v>
      </c>
      <c r="F132" s="2" t="str">
        <f t="shared" ref="F132:F161" ca="1" si="50">IF(C132&gt;MAX(H131,I131,J131),"t1",IF(MIN(H131,I131,J131)=H131,"t1",(IF(MIN(H131,I131,J131)=I131,"t2","t3"))))</f>
        <v>t3</v>
      </c>
      <c r="G132" s="2">
        <f t="shared" ca="1" si="41"/>
        <v>1.0674115289683901</v>
      </c>
      <c r="H132" s="2">
        <f t="shared" ref="H132:H161" ca="1" si="51">IF(F132="t1",L132,H131)</f>
        <v>359.29435951723326</v>
      </c>
      <c r="I132" s="2">
        <f t="shared" ref="I132:I161" ca="1" si="52">IF(F132="t2",L132,I131)</f>
        <v>336.47701354561286</v>
      </c>
      <c r="J132" s="2">
        <f t="shared" ca="1" si="38"/>
        <v>335.23747084465481</v>
      </c>
      <c r="K132" s="5">
        <f t="shared" ref="K132:K161" ca="1" si="53">IF(M132=0,C132,MIN(H131,I131,J131))</f>
        <v>334.17005931568644</v>
      </c>
      <c r="L132" s="2">
        <f t="shared" ca="1" si="42"/>
        <v>335.23747084465481</v>
      </c>
      <c r="M132" s="2">
        <f t="shared" ref="M132:M161" ca="1" si="54">IF(C132&lt;MIN(H131,I131,J131),MIN(H131,I131,J131)-C132,0)</f>
        <v>2.663881758012451</v>
      </c>
      <c r="N132" s="2">
        <f t="shared" ca="1" si="44"/>
        <v>1</v>
      </c>
      <c r="O132" s="2">
        <f ca="1">COUNTIFS($C$2:C131,"&lt;="&amp;C132,$L$2:L131,"&gt;"&amp;C132)</f>
        <v>3</v>
      </c>
      <c r="P132" s="5">
        <f t="shared" ref="P132:P161" ca="1" si="55">MAX(0,C132-H132)</f>
        <v>0</v>
      </c>
      <c r="Q132" s="5">
        <f t="shared" ref="Q132:Q161" ca="1" si="56">MAX(0,C132-I132)</f>
        <v>0</v>
      </c>
      <c r="R132" s="5">
        <f t="shared" ref="R132:R161" ca="1" si="57">MAX(0,C132-J132)</f>
        <v>0</v>
      </c>
      <c r="S132" s="2">
        <f t="shared" ca="1" si="45"/>
        <v>0</v>
      </c>
      <c r="T132" s="4">
        <f t="shared" ca="1" si="46"/>
        <v>0</v>
      </c>
      <c r="U132">
        <f t="shared" ca="1" si="47"/>
        <v>1.0674115289683901</v>
      </c>
      <c r="V132" s="2"/>
      <c r="W132" s="2"/>
      <c r="X132" s="2"/>
      <c r="Y132" s="2"/>
      <c r="Z132" s="2"/>
      <c r="AA132" s="2"/>
      <c r="AB132" s="1"/>
      <c r="AC132" s="1"/>
      <c r="AD132" s="1"/>
      <c r="AE132" s="1"/>
      <c r="AF132" s="1"/>
      <c r="AG132" s="1"/>
      <c r="AH132" s="1"/>
      <c r="AI132" s="1"/>
    </row>
    <row r="133" spans="1:35" ht="18" x14ac:dyDescent="0.35">
      <c r="A133" s="2">
        <v>132</v>
      </c>
      <c r="B133" s="2">
        <f t="shared" ca="1" si="48"/>
        <v>8.4646251518078</v>
      </c>
      <c r="C133" s="5">
        <f t="shared" ca="1" si="49"/>
        <v>339.9708027094818</v>
      </c>
      <c r="D133" s="2">
        <f t="shared" ca="1" si="43"/>
        <v>0.85872566633557901</v>
      </c>
      <c r="E133" s="2" t="str">
        <f ca="1">LOOKUP(RAND(),{0,0.4,0.7,0.9},{"DEPOSIT","WITHDRAWAL","INQUIRY","LOAN"})</f>
        <v>WITHDRAWAL</v>
      </c>
      <c r="F133" s="2" t="str">
        <f t="shared" ca="1" si="50"/>
        <v>t3</v>
      </c>
      <c r="G133" s="2">
        <f t="shared" ca="1" si="41"/>
        <v>1</v>
      </c>
      <c r="H133" s="2">
        <f t="shared" ca="1" si="51"/>
        <v>359.29435951723326</v>
      </c>
      <c r="I133" s="2">
        <f t="shared" ca="1" si="52"/>
        <v>336.47701354561286</v>
      </c>
      <c r="J133" s="2">
        <f t="shared" ref="J133:J159" ca="1" si="58">IF(F133="t3",L133,J132)</f>
        <v>340.9708027094818</v>
      </c>
      <c r="K133" s="5">
        <f t="shared" ca="1" si="53"/>
        <v>339.9708027094818</v>
      </c>
      <c r="L133" s="2">
        <f t="shared" ca="1" si="42"/>
        <v>340.9708027094818</v>
      </c>
      <c r="M133" s="2">
        <f t="shared" ca="1" si="54"/>
        <v>0</v>
      </c>
      <c r="N133" s="2">
        <f t="shared" ca="1" si="44"/>
        <v>0</v>
      </c>
      <c r="O133" s="2">
        <f ca="1">COUNTIFS($C$2:C132,"&lt;="&amp;C133,$L$2:L132,"&gt;"&amp;C133)</f>
        <v>1</v>
      </c>
      <c r="P133" s="5">
        <f t="shared" ca="1" si="55"/>
        <v>0</v>
      </c>
      <c r="Q133" s="5">
        <f t="shared" ca="1" si="56"/>
        <v>3.4937891638689393</v>
      </c>
      <c r="R133" s="5">
        <f t="shared" ca="1" si="57"/>
        <v>0</v>
      </c>
      <c r="S133" s="2">
        <f t="shared" ca="1" si="45"/>
        <v>0</v>
      </c>
      <c r="T133" s="4">
        <f t="shared" ca="1" si="46"/>
        <v>0</v>
      </c>
      <c r="U133">
        <f t="shared" ca="1" si="47"/>
        <v>1</v>
      </c>
      <c r="V133" s="2"/>
      <c r="W133" s="2"/>
      <c r="X133" s="2"/>
      <c r="Y133" s="2"/>
      <c r="Z133" s="2"/>
      <c r="AA133" s="2"/>
      <c r="AB133" s="1"/>
      <c r="AC133" s="1"/>
      <c r="AD133" s="1"/>
      <c r="AE133" s="1"/>
      <c r="AF133" s="1"/>
      <c r="AG133" s="1"/>
      <c r="AH133" s="1"/>
      <c r="AI133" s="1"/>
    </row>
    <row r="134" spans="1:35" ht="18" x14ac:dyDescent="0.35">
      <c r="A134" s="2">
        <v>133</v>
      </c>
      <c r="B134" s="2">
        <f t="shared" ca="1" si="48"/>
        <v>1.0072416284107288</v>
      </c>
      <c r="C134" s="5">
        <f t="shared" ca="1" si="49"/>
        <v>340.97804433789253</v>
      </c>
      <c r="D134" s="2">
        <f t="shared" ca="1" si="43"/>
        <v>0.90112536327424908</v>
      </c>
      <c r="E134" s="2" t="str">
        <f ca="1">LOOKUP(RAND(),{0,0.4,0.7,0.9},{"DEPOSIT","WITHDRAWAL","INQUIRY","LOAN"})</f>
        <v>DEPOSIT</v>
      </c>
      <c r="F134" s="2" t="str">
        <f t="shared" ca="1" si="50"/>
        <v>t2</v>
      </c>
      <c r="G134" s="2">
        <f t="shared" ca="1" si="41"/>
        <v>1</v>
      </c>
      <c r="H134" s="2">
        <f t="shared" ca="1" si="51"/>
        <v>359.29435951723326</v>
      </c>
      <c r="I134" s="2">
        <f t="shared" ca="1" si="52"/>
        <v>341.97804433789253</v>
      </c>
      <c r="J134" s="2">
        <f t="shared" ca="1" si="58"/>
        <v>340.9708027094818</v>
      </c>
      <c r="K134" s="5">
        <f t="shared" ca="1" si="53"/>
        <v>340.97804433789253</v>
      </c>
      <c r="L134" s="2">
        <f t="shared" ca="1" si="42"/>
        <v>341.97804433789253</v>
      </c>
      <c r="M134" s="2">
        <f t="shared" ca="1" si="54"/>
        <v>0</v>
      </c>
      <c r="N134" s="2">
        <f t="shared" ca="1" si="44"/>
        <v>0</v>
      </c>
      <c r="O134" s="2">
        <f ca="1">COUNTIFS($C$2:C133,"&lt;="&amp;C134,$L$2:L133,"&gt;"&amp;C134)</f>
        <v>1</v>
      </c>
      <c r="P134" s="5">
        <f t="shared" ca="1" si="55"/>
        <v>0</v>
      </c>
      <c r="Q134" s="5">
        <f t="shared" ca="1" si="56"/>
        <v>0</v>
      </c>
      <c r="R134" s="5">
        <f t="shared" ca="1" si="57"/>
        <v>7.241628410724843E-3</v>
      </c>
      <c r="S134" s="2">
        <f t="shared" ca="1" si="45"/>
        <v>0</v>
      </c>
      <c r="T134" s="4">
        <f t="shared" ca="1" si="46"/>
        <v>1</v>
      </c>
      <c r="U134">
        <f t="shared" ca="1" si="47"/>
        <v>0</v>
      </c>
      <c r="V134" s="2"/>
      <c r="W134" s="2"/>
      <c r="X134" s="2"/>
      <c r="Y134" s="2"/>
      <c r="Z134" s="2"/>
      <c r="AA134" s="2"/>
      <c r="AB134" s="1"/>
      <c r="AC134" s="1"/>
      <c r="AD134" s="1"/>
      <c r="AE134" s="1"/>
      <c r="AF134" s="1"/>
      <c r="AG134" s="1"/>
      <c r="AH134" s="1"/>
      <c r="AI134" s="1"/>
    </row>
    <row r="135" spans="1:35" ht="18" x14ac:dyDescent="0.35">
      <c r="A135" s="2">
        <v>134</v>
      </c>
      <c r="B135" s="2">
        <f t="shared" ca="1" si="48"/>
        <v>1.876990413501207</v>
      </c>
      <c r="C135" s="5">
        <f t="shared" ca="1" si="49"/>
        <v>342.85503475139376</v>
      </c>
      <c r="D135" s="2">
        <f t="shared" ca="1" si="43"/>
        <v>0.28348940284995672</v>
      </c>
      <c r="E135" s="2" t="str">
        <f ca="1">LOOKUP(RAND(),{0,0.4,0.7,0.9},{"DEPOSIT","WITHDRAWAL","INQUIRY","LOAN"})</f>
        <v>WITHDRAWAL</v>
      </c>
      <c r="F135" s="2" t="str">
        <f t="shared" ca="1" si="50"/>
        <v>t3</v>
      </c>
      <c r="G135" s="2">
        <f t="shared" ca="1" si="41"/>
        <v>7.5634832173856097</v>
      </c>
      <c r="H135" s="2">
        <f t="shared" ca="1" si="51"/>
        <v>359.29435951723326</v>
      </c>
      <c r="I135" s="2">
        <f t="shared" ca="1" si="52"/>
        <v>341.97804433789253</v>
      </c>
      <c r="J135" s="2">
        <f t="shared" ca="1" si="58"/>
        <v>350.41851796877938</v>
      </c>
      <c r="K135" s="5">
        <f t="shared" ca="1" si="53"/>
        <v>342.85503475139376</v>
      </c>
      <c r="L135" s="2">
        <f t="shared" ca="1" si="42"/>
        <v>350.41851796877938</v>
      </c>
      <c r="M135" s="2">
        <f t="shared" ca="1" si="54"/>
        <v>0</v>
      </c>
      <c r="N135" s="2">
        <f t="shared" ca="1" si="44"/>
        <v>0</v>
      </c>
      <c r="O135" s="2">
        <f ca="1">COUNTIFS($C$2:C134,"&lt;="&amp;C135,$L$2:L134,"&gt;"&amp;C135)</f>
        <v>1</v>
      </c>
      <c r="P135" s="5">
        <f t="shared" ca="1" si="55"/>
        <v>0</v>
      </c>
      <c r="Q135" s="5">
        <f t="shared" ca="1" si="56"/>
        <v>0.87699041350123252</v>
      </c>
      <c r="R135" s="5">
        <f t="shared" ca="1" si="57"/>
        <v>0</v>
      </c>
      <c r="S135" s="2">
        <f t="shared" ca="1" si="45"/>
        <v>0</v>
      </c>
      <c r="T135" s="4">
        <f t="shared" ca="1" si="46"/>
        <v>0</v>
      </c>
      <c r="U135">
        <f t="shared" ca="1" si="47"/>
        <v>7.5634832173856097</v>
      </c>
      <c r="V135" s="2"/>
      <c r="W135" s="2"/>
      <c r="X135" s="2"/>
      <c r="Y135" s="2"/>
      <c r="Z135" s="2"/>
      <c r="AA135" s="2"/>
      <c r="AB135" s="1"/>
      <c r="AC135" s="1"/>
      <c r="AD135" s="1"/>
      <c r="AE135" s="1"/>
      <c r="AF135" s="1"/>
      <c r="AG135" s="1"/>
      <c r="AH135" s="1"/>
      <c r="AI135" s="1"/>
    </row>
    <row r="136" spans="1:35" ht="18" x14ac:dyDescent="0.35">
      <c r="A136" s="2">
        <v>135</v>
      </c>
      <c r="B136" s="2">
        <f t="shared" ca="1" si="48"/>
        <v>2.0428448335247689</v>
      </c>
      <c r="C136" s="5">
        <f t="shared" ca="1" si="49"/>
        <v>344.89787958491854</v>
      </c>
      <c r="D136" s="2">
        <f t="shared" ca="1" si="43"/>
        <v>0.69083885739785045</v>
      </c>
      <c r="E136" s="2" t="str">
        <f ca="1">LOOKUP(RAND(),{0,0.4,0.7,0.9},{"DEPOSIT","WITHDRAWAL","INQUIRY","LOAN"})</f>
        <v>INQUIRY</v>
      </c>
      <c r="F136" s="2" t="str">
        <f t="shared" ca="1" si="50"/>
        <v>t2</v>
      </c>
      <c r="G136" s="2">
        <f t="shared" ca="1" si="41"/>
        <v>1.4793947377577941</v>
      </c>
      <c r="H136" s="2">
        <f t="shared" ca="1" si="51"/>
        <v>359.29435951723326</v>
      </c>
      <c r="I136" s="2">
        <f t="shared" ca="1" si="52"/>
        <v>346.37727432267633</v>
      </c>
      <c r="J136" s="2">
        <f t="shared" ca="1" si="58"/>
        <v>350.41851796877938</v>
      </c>
      <c r="K136" s="5">
        <f t="shared" ca="1" si="53"/>
        <v>344.89787958491854</v>
      </c>
      <c r="L136" s="2">
        <f t="shared" ca="1" si="42"/>
        <v>346.37727432267633</v>
      </c>
      <c r="M136" s="2">
        <f t="shared" ca="1" si="54"/>
        <v>0</v>
      </c>
      <c r="N136" s="2">
        <f t="shared" ca="1" si="44"/>
        <v>0</v>
      </c>
      <c r="O136" s="2">
        <f ca="1">COUNTIFS($C$2:C135,"&lt;="&amp;C136,$L$2:L135,"&gt;"&amp;C136)</f>
        <v>2</v>
      </c>
      <c r="P136" s="5">
        <f t="shared" ca="1" si="55"/>
        <v>0</v>
      </c>
      <c r="Q136" s="5">
        <f t="shared" ca="1" si="56"/>
        <v>0</v>
      </c>
      <c r="R136" s="5">
        <f t="shared" ca="1" si="57"/>
        <v>0</v>
      </c>
      <c r="S136" s="2">
        <f t="shared" ca="1" si="45"/>
        <v>0</v>
      </c>
      <c r="T136" s="4">
        <f t="shared" ca="1" si="46"/>
        <v>1.4793947377577941</v>
      </c>
      <c r="U136">
        <f t="shared" ca="1" si="47"/>
        <v>0</v>
      </c>
      <c r="V136" s="2"/>
      <c r="W136" s="2"/>
      <c r="X136" s="2"/>
      <c r="Y136" s="2"/>
      <c r="Z136" s="2"/>
      <c r="AA136" s="2"/>
      <c r="AB136" s="1"/>
      <c r="AC136" s="1"/>
      <c r="AD136" s="1"/>
      <c r="AE136" s="1"/>
      <c r="AF136" s="1"/>
      <c r="AG136" s="1"/>
      <c r="AH136" s="1"/>
      <c r="AI136" s="1"/>
    </row>
    <row r="137" spans="1:35" ht="18" x14ac:dyDescent="0.35">
      <c r="A137" s="2">
        <v>136</v>
      </c>
      <c r="B137" s="2">
        <f t="shared" ca="1" si="48"/>
        <v>0.35120305765211579</v>
      </c>
      <c r="C137" s="5">
        <f t="shared" ca="1" si="49"/>
        <v>345.24908264257067</v>
      </c>
      <c r="D137" s="2">
        <f t="shared" ca="1" si="43"/>
        <v>0.14301292983435288</v>
      </c>
      <c r="E137" s="2" t="str">
        <f ca="1">LOOKUP(RAND(),{0,0.4,0.7,0.9},{"DEPOSIT","WITHDRAWAL","INQUIRY","LOAN"})</f>
        <v>INQUIRY</v>
      </c>
      <c r="F137" s="2" t="str">
        <f t="shared" ca="1" si="50"/>
        <v>t2</v>
      </c>
      <c r="G137" s="2">
        <f t="shared" ca="1" si="41"/>
        <v>7.7792809375507233</v>
      </c>
      <c r="H137" s="2">
        <f t="shared" ca="1" si="51"/>
        <v>359.29435951723326</v>
      </c>
      <c r="I137" s="2">
        <f t="shared" ca="1" si="52"/>
        <v>354.15655526022704</v>
      </c>
      <c r="J137" s="2">
        <f t="shared" ca="1" si="58"/>
        <v>350.41851796877938</v>
      </c>
      <c r="K137" s="5">
        <f t="shared" ca="1" si="53"/>
        <v>346.37727432267633</v>
      </c>
      <c r="L137" s="2">
        <f t="shared" ca="1" si="42"/>
        <v>354.15655526022704</v>
      </c>
      <c r="M137" s="2">
        <f t="shared" ca="1" si="54"/>
        <v>1.1281916801056582</v>
      </c>
      <c r="N137" s="2">
        <f t="shared" ca="1" si="44"/>
        <v>1</v>
      </c>
      <c r="O137" s="2">
        <f ca="1">COUNTIFS($C$2:C136,"&lt;="&amp;C137,$L$2:L136,"&gt;"&amp;C137)</f>
        <v>3</v>
      </c>
      <c r="P137" s="5">
        <f t="shared" ca="1" si="55"/>
        <v>0</v>
      </c>
      <c r="Q137" s="5">
        <f t="shared" ca="1" si="56"/>
        <v>0</v>
      </c>
      <c r="R137" s="5">
        <f t="shared" ca="1" si="57"/>
        <v>0</v>
      </c>
      <c r="S137" s="2">
        <f t="shared" ca="1" si="45"/>
        <v>0</v>
      </c>
      <c r="T137" s="4">
        <f t="shared" ca="1" si="46"/>
        <v>7.7792809375507233</v>
      </c>
      <c r="U137">
        <f t="shared" ca="1" si="47"/>
        <v>0</v>
      </c>
      <c r="V137" s="2"/>
      <c r="W137" s="2"/>
      <c r="X137" s="2"/>
      <c r="Y137" s="2"/>
      <c r="Z137" s="2"/>
      <c r="AA137" s="2"/>
      <c r="AB137" s="1"/>
      <c r="AC137" s="1"/>
      <c r="AD137" s="1"/>
      <c r="AE137" s="1"/>
      <c r="AF137" s="1"/>
      <c r="AG137" s="1"/>
      <c r="AH137" s="1"/>
      <c r="AI137" s="1"/>
    </row>
    <row r="138" spans="1:35" ht="18" x14ac:dyDescent="0.35">
      <c r="A138" s="2">
        <v>137</v>
      </c>
      <c r="B138" s="2">
        <f t="shared" ca="1" si="48"/>
        <v>6.9829266259074538</v>
      </c>
      <c r="C138" s="5">
        <f t="shared" ca="1" si="49"/>
        <v>352.23200926847812</v>
      </c>
      <c r="D138" s="2">
        <f t="shared" ca="1" si="43"/>
        <v>0.12864039217684009</v>
      </c>
      <c r="E138" s="2" t="str">
        <f ca="1">LOOKUP(RAND(),{0,0.4,0.7,0.9},{"DEPOSIT","WITHDRAWAL","INQUIRY","LOAN"})</f>
        <v>DEPOSIT</v>
      </c>
      <c r="F138" s="2" t="str">
        <f t="shared" ca="1" si="50"/>
        <v>t3</v>
      </c>
      <c r="G138" s="2">
        <f t="shared" ca="1" si="41"/>
        <v>10.253672124588782</v>
      </c>
      <c r="H138" s="2">
        <f t="shared" ca="1" si="51"/>
        <v>359.29435951723326</v>
      </c>
      <c r="I138" s="2">
        <f t="shared" ca="1" si="52"/>
        <v>354.15655526022704</v>
      </c>
      <c r="J138" s="2">
        <f t="shared" ca="1" si="58"/>
        <v>362.4856813930669</v>
      </c>
      <c r="K138" s="5">
        <f t="shared" ca="1" si="53"/>
        <v>352.23200926847812</v>
      </c>
      <c r="L138" s="2">
        <f t="shared" ca="1" si="42"/>
        <v>362.4856813930669</v>
      </c>
      <c r="M138" s="2">
        <f t="shared" ca="1" si="54"/>
        <v>0</v>
      </c>
      <c r="N138" s="2">
        <f t="shared" ca="1" si="44"/>
        <v>0</v>
      </c>
      <c r="O138" s="2">
        <f ca="1">COUNTIFS($C$2:C137,"&lt;="&amp;C138,$L$2:L137,"&gt;"&amp;C138)</f>
        <v>2</v>
      </c>
      <c r="P138" s="5">
        <f t="shared" ca="1" si="55"/>
        <v>0</v>
      </c>
      <c r="Q138" s="5">
        <f t="shared" ca="1" si="56"/>
        <v>0</v>
      </c>
      <c r="R138" s="5">
        <f t="shared" ca="1" si="57"/>
        <v>0</v>
      </c>
      <c r="S138" s="2">
        <f t="shared" ca="1" si="45"/>
        <v>0</v>
      </c>
      <c r="T138" s="4">
        <f t="shared" ca="1" si="46"/>
        <v>0</v>
      </c>
      <c r="U138">
        <f t="shared" ca="1" si="47"/>
        <v>10.253672124588782</v>
      </c>
      <c r="V138" s="2"/>
      <c r="W138" s="2"/>
      <c r="X138" s="2"/>
      <c r="Y138" s="2"/>
      <c r="Z138" s="2"/>
      <c r="AA138" s="2"/>
      <c r="AB138" s="1"/>
      <c r="AC138" s="1"/>
      <c r="AD138" s="1"/>
      <c r="AE138" s="1"/>
      <c r="AF138" s="1"/>
      <c r="AG138" s="1"/>
      <c r="AH138" s="1"/>
      <c r="AI138" s="1"/>
    </row>
    <row r="139" spans="1:35" ht="18" x14ac:dyDescent="0.35">
      <c r="A139" s="2">
        <v>138</v>
      </c>
      <c r="B139" s="2">
        <f t="shared" ca="1" si="48"/>
        <v>2.6302785991663309</v>
      </c>
      <c r="C139" s="5">
        <f t="shared" ca="1" si="49"/>
        <v>354.86228786764445</v>
      </c>
      <c r="D139" s="2">
        <f t="shared" ca="1" si="43"/>
        <v>0.83926060105077827</v>
      </c>
      <c r="E139" s="2" t="str">
        <f ca="1">LOOKUP(RAND(),{0,0.4,0.7,0.9},{"DEPOSIT","WITHDRAWAL","INQUIRY","LOAN"})</f>
        <v>INQUIRY</v>
      </c>
      <c r="F139" s="2" t="str">
        <f t="shared" ca="1" si="50"/>
        <v>t2</v>
      </c>
      <c r="G139" s="2">
        <f t="shared" ca="1" si="41"/>
        <v>1</v>
      </c>
      <c r="H139" s="2">
        <f t="shared" ca="1" si="51"/>
        <v>359.29435951723326</v>
      </c>
      <c r="I139" s="2">
        <f t="shared" ca="1" si="52"/>
        <v>355.86228786764445</v>
      </c>
      <c r="J139" s="2">
        <f t="shared" ca="1" si="58"/>
        <v>362.4856813930669</v>
      </c>
      <c r="K139" s="5">
        <f t="shared" ca="1" si="53"/>
        <v>354.86228786764445</v>
      </c>
      <c r="L139" s="2">
        <f t="shared" ca="1" si="42"/>
        <v>355.86228786764445</v>
      </c>
      <c r="M139" s="2">
        <f t="shared" ca="1" si="54"/>
        <v>0</v>
      </c>
      <c r="N139" s="2">
        <f t="shared" ca="1" si="44"/>
        <v>0</v>
      </c>
      <c r="O139" s="2">
        <f ca="1">COUNTIFS($C$2:C138,"&lt;="&amp;C139,$L$2:L138,"&gt;"&amp;C139)</f>
        <v>2</v>
      </c>
      <c r="P139" s="5">
        <f t="shared" ca="1" si="55"/>
        <v>0</v>
      </c>
      <c r="Q139" s="5">
        <f t="shared" ca="1" si="56"/>
        <v>0</v>
      </c>
      <c r="R139" s="5">
        <f t="shared" ca="1" si="57"/>
        <v>0</v>
      </c>
      <c r="S139" s="2">
        <f t="shared" ca="1" si="45"/>
        <v>0</v>
      </c>
      <c r="T139" s="4">
        <f t="shared" ca="1" si="46"/>
        <v>1</v>
      </c>
      <c r="U139">
        <f t="shared" ca="1" si="47"/>
        <v>0</v>
      </c>
      <c r="V139" s="2"/>
      <c r="W139" s="2"/>
      <c r="X139" s="2"/>
      <c r="Y139" s="2"/>
      <c r="Z139" s="2"/>
      <c r="AA139" s="2"/>
      <c r="AB139" s="1"/>
      <c r="AC139" s="1"/>
      <c r="AD139" s="1"/>
      <c r="AE139" s="1"/>
      <c r="AF139" s="1"/>
      <c r="AG139" s="1"/>
      <c r="AH139" s="1"/>
      <c r="AI139" s="1"/>
    </row>
    <row r="140" spans="1:35" ht="18" x14ac:dyDescent="0.35">
      <c r="A140" s="2">
        <v>139</v>
      </c>
      <c r="B140" s="2">
        <f t="shared" ca="1" si="48"/>
        <v>2.8692505024238617</v>
      </c>
      <c r="C140" s="5">
        <f t="shared" ca="1" si="49"/>
        <v>357.73153837006834</v>
      </c>
      <c r="D140" s="2">
        <f t="shared" ca="1" si="43"/>
        <v>0.28312001351343641</v>
      </c>
      <c r="E140" s="2" t="str">
        <f ca="1">LOOKUP(RAND(),{0,0.4,0.7,0.9},{"DEPOSIT","WITHDRAWAL","INQUIRY","LOAN"})</f>
        <v>WITHDRAWAL</v>
      </c>
      <c r="F140" s="2" t="str">
        <f t="shared" ca="1" si="50"/>
        <v>t2</v>
      </c>
      <c r="G140" s="2">
        <f t="shared" ca="1" si="41"/>
        <v>7.5713063712870641</v>
      </c>
      <c r="H140" s="2">
        <f t="shared" ca="1" si="51"/>
        <v>359.29435951723326</v>
      </c>
      <c r="I140" s="2">
        <f t="shared" ca="1" si="52"/>
        <v>365.30284474135539</v>
      </c>
      <c r="J140" s="2">
        <f t="shared" ca="1" si="58"/>
        <v>362.4856813930669</v>
      </c>
      <c r="K140" s="5">
        <f t="shared" ca="1" si="53"/>
        <v>357.73153837006834</v>
      </c>
      <c r="L140" s="2">
        <f t="shared" ca="1" si="42"/>
        <v>365.30284474135539</v>
      </c>
      <c r="M140" s="2">
        <f t="shared" ca="1" si="54"/>
        <v>0</v>
      </c>
      <c r="N140" s="2">
        <f t="shared" ca="1" si="44"/>
        <v>0</v>
      </c>
      <c r="O140" s="2">
        <f ca="1">COUNTIFS($C$2:C139,"&lt;="&amp;C140,$L$2:L139,"&gt;"&amp;C140)</f>
        <v>2</v>
      </c>
      <c r="P140" s="5">
        <f t="shared" ca="1" si="55"/>
        <v>0</v>
      </c>
      <c r="Q140" s="5">
        <f t="shared" ca="1" si="56"/>
        <v>0</v>
      </c>
      <c r="R140" s="5">
        <f t="shared" ca="1" si="57"/>
        <v>0</v>
      </c>
      <c r="S140" s="2">
        <f t="shared" ca="1" si="45"/>
        <v>0</v>
      </c>
      <c r="T140" s="4">
        <f t="shared" ca="1" si="46"/>
        <v>7.5713063712870641</v>
      </c>
      <c r="U140">
        <f t="shared" ca="1" si="47"/>
        <v>0</v>
      </c>
      <c r="V140" s="2"/>
      <c r="W140" s="2"/>
      <c r="X140" s="2"/>
      <c r="Y140" s="2"/>
      <c r="Z140" s="2"/>
      <c r="AA140" s="2"/>
      <c r="AB140" s="1"/>
      <c r="AC140" s="1"/>
      <c r="AD140" s="1"/>
      <c r="AE140" s="1"/>
      <c r="AF140" s="1"/>
      <c r="AG140" s="1"/>
      <c r="AH140" s="1"/>
      <c r="AI140" s="1"/>
    </row>
    <row r="141" spans="1:35" ht="18" x14ac:dyDescent="0.35">
      <c r="A141" s="2">
        <v>140</v>
      </c>
      <c r="B141" s="2">
        <f t="shared" ca="1" si="48"/>
        <v>2.7248629062453604</v>
      </c>
      <c r="C141" s="5">
        <f t="shared" ca="1" si="49"/>
        <v>360.45640127631367</v>
      </c>
      <c r="D141" s="2">
        <f t="shared" ca="1" si="43"/>
        <v>0.37378027489590115</v>
      </c>
      <c r="E141" s="2" t="str">
        <f ca="1">LOOKUP(RAND(),{0,0.4,0.7,0.9},{"DEPOSIT","WITHDRAWAL","INQUIRY","LOAN"})</f>
        <v>DEPOSIT</v>
      </c>
      <c r="F141" s="2" t="str">
        <f t="shared" ca="1" si="50"/>
        <v>t1</v>
      </c>
      <c r="G141" s="2">
        <f t="shared" ca="1" si="41"/>
        <v>4.9204357724592791</v>
      </c>
      <c r="H141" s="2">
        <f t="shared" ca="1" si="51"/>
        <v>365.37683704877293</v>
      </c>
      <c r="I141" s="2">
        <f t="shared" ca="1" si="52"/>
        <v>365.30284474135539</v>
      </c>
      <c r="J141" s="2">
        <f t="shared" ca="1" si="58"/>
        <v>362.4856813930669</v>
      </c>
      <c r="K141" s="5">
        <f t="shared" ca="1" si="53"/>
        <v>360.45640127631367</v>
      </c>
      <c r="L141" s="2">
        <f t="shared" ca="1" si="42"/>
        <v>365.37683704877293</v>
      </c>
      <c r="M141" s="2">
        <f t="shared" ca="1" si="54"/>
        <v>0</v>
      </c>
      <c r="N141" s="2">
        <f t="shared" ca="1" si="44"/>
        <v>0</v>
      </c>
      <c r="O141" s="2">
        <f ca="1">COUNTIFS($C$2:C140,"&lt;="&amp;C141,$L$2:L140,"&gt;"&amp;C141)</f>
        <v>2</v>
      </c>
      <c r="P141" s="5">
        <f t="shared" ca="1" si="55"/>
        <v>0</v>
      </c>
      <c r="Q141" s="5">
        <f t="shared" ca="1" si="56"/>
        <v>0</v>
      </c>
      <c r="R141" s="5">
        <f t="shared" ca="1" si="57"/>
        <v>0</v>
      </c>
      <c r="S141" s="2">
        <f t="shared" ca="1" si="45"/>
        <v>4.9204357724592791</v>
      </c>
      <c r="T141" s="4">
        <f t="shared" ca="1" si="46"/>
        <v>0</v>
      </c>
      <c r="U141">
        <f t="shared" ca="1" si="47"/>
        <v>0</v>
      </c>
      <c r="V141" s="2"/>
      <c r="W141" s="2"/>
      <c r="X141" s="2"/>
      <c r="Y141" s="2"/>
      <c r="Z141" s="2"/>
      <c r="AA141" s="2"/>
      <c r="AB141" s="1"/>
      <c r="AC141" s="1"/>
      <c r="AD141" s="1"/>
      <c r="AE141" s="1"/>
      <c r="AF141" s="1"/>
      <c r="AG141" s="1"/>
      <c r="AH141" s="1"/>
      <c r="AI141" s="1"/>
    </row>
    <row r="142" spans="1:35" ht="18" x14ac:dyDescent="0.35">
      <c r="A142" s="2">
        <v>141</v>
      </c>
      <c r="B142" s="2">
        <f t="shared" ca="1" si="48"/>
        <v>8.3406001899118287</v>
      </c>
      <c r="C142" s="5">
        <f t="shared" ca="1" si="49"/>
        <v>368.79700146622548</v>
      </c>
      <c r="D142" s="2">
        <f t="shared" ca="1" si="43"/>
        <v>9.2124142953417198E-2</v>
      </c>
      <c r="E142" s="2" t="str">
        <f ca="1">LOOKUP(RAND(),{0,0.4,0.7,0.9},{"DEPOSIT","WITHDRAWAL","INQUIRY","LOAN"})</f>
        <v>INQUIRY</v>
      </c>
      <c r="F142" s="2" t="str">
        <f t="shared" ca="1" si="50"/>
        <v>t1</v>
      </c>
      <c r="G142" s="2">
        <f t="shared" ca="1" si="41"/>
        <v>9.5384729263983079</v>
      </c>
      <c r="H142" s="2">
        <f t="shared" ca="1" si="51"/>
        <v>378.33547439262378</v>
      </c>
      <c r="I142" s="2">
        <f t="shared" ca="1" si="52"/>
        <v>365.30284474135539</v>
      </c>
      <c r="J142" s="2">
        <f t="shared" ca="1" si="58"/>
        <v>362.4856813930669</v>
      </c>
      <c r="K142" s="5">
        <f t="shared" ca="1" si="53"/>
        <v>368.79700146622548</v>
      </c>
      <c r="L142" s="2">
        <f t="shared" ca="1" si="42"/>
        <v>378.33547439262378</v>
      </c>
      <c r="M142" s="2">
        <f t="shared" ca="1" si="54"/>
        <v>0</v>
      </c>
      <c r="N142" s="2">
        <f t="shared" ca="1" si="44"/>
        <v>0</v>
      </c>
      <c r="O142" s="2">
        <f ca="1">COUNTIFS($C$2:C141,"&lt;="&amp;C142,$L$2:L141,"&gt;"&amp;C142)</f>
        <v>0</v>
      </c>
      <c r="P142" s="5">
        <f t="shared" ca="1" si="55"/>
        <v>0</v>
      </c>
      <c r="Q142" s="5">
        <f t="shared" ca="1" si="56"/>
        <v>3.4941567248700949</v>
      </c>
      <c r="R142" s="5">
        <f t="shared" ca="1" si="57"/>
        <v>6.3113200731585835</v>
      </c>
      <c r="S142" s="2">
        <f t="shared" ca="1" si="45"/>
        <v>9.5384729263983079</v>
      </c>
      <c r="T142" s="4">
        <f t="shared" ca="1" si="46"/>
        <v>0</v>
      </c>
      <c r="U142">
        <f t="shared" ca="1" si="47"/>
        <v>0</v>
      </c>
      <c r="V142" s="2"/>
      <c r="W142" s="2"/>
      <c r="X142" s="2"/>
      <c r="Y142" s="2"/>
      <c r="Z142" s="2"/>
      <c r="AA142" s="2"/>
      <c r="AB142" s="1"/>
      <c r="AC142" s="1"/>
      <c r="AD142" s="1"/>
      <c r="AE142" s="1"/>
      <c r="AF142" s="1"/>
      <c r="AG142" s="1"/>
      <c r="AH142" s="1"/>
      <c r="AI142" s="1"/>
    </row>
    <row r="143" spans="1:35" ht="18" x14ac:dyDescent="0.35">
      <c r="A143" s="2">
        <v>142</v>
      </c>
      <c r="B143" s="2">
        <f t="shared" ca="1" si="48"/>
        <v>3.3750570960770125</v>
      </c>
      <c r="C143" s="5">
        <f t="shared" ca="1" si="49"/>
        <v>372.17205856230248</v>
      </c>
      <c r="D143" s="2">
        <f t="shared" ca="1" si="43"/>
        <v>0.53502102561426723</v>
      </c>
      <c r="E143" s="2" t="str">
        <f ca="1">LOOKUP(RAND(),{0,0.4,0.7,0.9},{"DEPOSIT","WITHDRAWAL","INQUIRY","LOAN"})</f>
        <v>INQUIRY</v>
      </c>
      <c r="F143" s="2" t="str">
        <f t="shared" ca="1" si="50"/>
        <v>t3</v>
      </c>
      <c r="G143" s="2">
        <f t="shared" ca="1" si="41"/>
        <v>2.5017969305791201</v>
      </c>
      <c r="H143" s="2">
        <f t="shared" ca="1" si="51"/>
        <v>378.33547439262378</v>
      </c>
      <c r="I143" s="2">
        <f t="shared" ca="1" si="52"/>
        <v>365.30284474135539</v>
      </c>
      <c r="J143" s="2">
        <f t="shared" ca="1" si="58"/>
        <v>374.67385549288161</v>
      </c>
      <c r="K143" s="5">
        <f t="shared" ca="1" si="53"/>
        <v>372.17205856230248</v>
      </c>
      <c r="L143" s="2">
        <f t="shared" ca="1" si="42"/>
        <v>374.67385549288161</v>
      </c>
      <c r="M143" s="2">
        <f t="shared" ca="1" si="54"/>
        <v>0</v>
      </c>
      <c r="N143" s="2">
        <f t="shared" ca="1" si="44"/>
        <v>0</v>
      </c>
      <c r="O143" s="2">
        <f ca="1">COUNTIFS($C$2:C142,"&lt;="&amp;C143,$L$2:L142,"&gt;"&amp;C143)</f>
        <v>1</v>
      </c>
      <c r="P143" s="5">
        <f t="shared" ca="1" si="55"/>
        <v>0</v>
      </c>
      <c r="Q143" s="5">
        <f t="shared" ca="1" si="56"/>
        <v>6.8692138209470954</v>
      </c>
      <c r="R143" s="5">
        <f t="shared" ca="1" si="57"/>
        <v>0</v>
      </c>
      <c r="S143" s="2">
        <f t="shared" ca="1" si="45"/>
        <v>0</v>
      </c>
      <c r="T143" s="4">
        <f t="shared" ca="1" si="46"/>
        <v>0</v>
      </c>
      <c r="U143">
        <f t="shared" ca="1" si="47"/>
        <v>2.5017969305791201</v>
      </c>
      <c r="V143" s="2"/>
      <c r="W143" s="2"/>
      <c r="X143" s="2"/>
      <c r="Y143" s="2"/>
      <c r="Z143" s="2"/>
      <c r="AA143" s="2"/>
      <c r="AB143" s="1"/>
      <c r="AC143" s="1"/>
      <c r="AD143" s="1"/>
      <c r="AE143" s="1"/>
      <c r="AF143" s="1"/>
      <c r="AG143" s="1"/>
      <c r="AH143" s="1"/>
      <c r="AI143" s="1"/>
    </row>
    <row r="144" spans="1:35" ht="18" x14ac:dyDescent="0.35">
      <c r="A144" s="2">
        <v>143</v>
      </c>
      <c r="B144" s="2">
        <f t="shared" ca="1" si="48"/>
        <v>2.5025879843901118</v>
      </c>
      <c r="C144" s="5">
        <f t="shared" ca="1" si="49"/>
        <v>374.6746465466926</v>
      </c>
      <c r="D144" s="2">
        <f t="shared" ca="1" si="43"/>
        <v>0.17378173371240646</v>
      </c>
      <c r="E144" s="2" t="str">
        <f ca="1">LOOKUP(RAND(),{0,0.4,0.7,0.9},{"DEPOSIT","WITHDRAWAL","INQUIRY","LOAN"})</f>
        <v>WITHDRAWAL</v>
      </c>
      <c r="F144" s="2" t="str">
        <f t="shared" ca="1" si="50"/>
        <v>t2</v>
      </c>
      <c r="G144" s="2">
        <f t="shared" ca="1" si="41"/>
        <v>10.499731026854992</v>
      </c>
      <c r="H144" s="2">
        <f t="shared" ca="1" si="51"/>
        <v>378.33547439262378</v>
      </c>
      <c r="I144" s="2">
        <f t="shared" ca="1" si="52"/>
        <v>385.17437757354759</v>
      </c>
      <c r="J144" s="2">
        <f t="shared" ca="1" si="58"/>
        <v>374.67385549288161</v>
      </c>
      <c r="K144" s="5">
        <f t="shared" ca="1" si="53"/>
        <v>374.6746465466926</v>
      </c>
      <c r="L144" s="2">
        <f t="shared" ca="1" si="42"/>
        <v>385.17437757354759</v>
      </c>
      <c r="M144" s="2">
        <f t="shared" ca="1" si="54"/>
        <v>0</v>
      </c>
      <c r="N144" s="2">
        <f t="shared" ca="1" si="44"/>
        <v>0</v>
      </c>
      <c r="O144" s="2">
        <f ca="1">COUNTIFS($C$2:C143,"&lt;="&amp;C144,$L$2:L143,"&gt;"&amp;C144)</f>
        <v>1</v>
      </c>
      <c r="P144" s="5">
        <f t="shared" ca="1" si="55"/>
        <v>0</v>
      </c>
      <c r="Q144" s="5">
        <f t="shared" ca="1" si="56"/>
        <v>0</v>
      </c>
      <c r="R144" s="5">
        <f t="shared" ca="1" si="57"/>
        <v>7.9105381098543148E-4</v>
      </c>
      <c r="S144" s="2">
        <f t="shared" ca="1" si="45"/>
        <v>0</v>
      </c>
      <c r="T144" s="4">
        <f t="shared" ca="1" si="46"/>
        <v>10.499731026854992</v>
      </c>
      <c r="U144">
        <f t="shared" ca="1" si="47"/>
        <v>0</v>
      </c>
      <c r="V144" s="2"/>
      <c r="W144" s="2"/>
      <c r="X144" s="2"/>
      <c r="Y144" s="2"/>
      <c r="Z144" s="2"/>
      <c r="AA144" s="2"/>
      <c r="AB144" s="1"/>
      <c r="AC144" s="1"/>
      <c r="AD144" s="1"/>
      <c r="AE144" s="1"/>
      <c r="AF144" s="1"/>
      <c r="AG144" s="1"/>
      <c r="AH144" s="1"/>
      <c r="AI144" s="1"/>
    </row>
    <row r="145" spans="1:35" ht="18" x14ac:dyDescent="0.35">
      <c r="A145" s="2">
        <v>144</v>
      </c>
      <c r="B145" s="2">
        <f t="shared" ca="1" si="48"/>
        <v>1.3004000775267504</v>
      </c>
      <c r="C145" s="5">
        <f t="shared" ca="1" si="49"/>
        <v>375.97504662421937</v>
      </c>
      <c r="D145" s="2">
        <f t="shared" ca="1" si="43"/>
        <v>0.51072315600471452</v>
      </c>
      <c r="E145" s="2" t="str">
        <f ca="1">LOOKUP(RAND(),{0,0.4,0.7,0.9},{"DEPOSIT","WITHDRAWAL","INQUIRY","LOAN"})</f>
        <v>DEPOSIT</v>
      </c>
      <c r="F145" s="2" t="str">
        <f t="shared" ca="1" si="50"/>
        <v>t3</v>
      </c>
      <c r="G145" s="2">
        <f t="shared" ca="1" si="41"/>
        <v>3.3596380232966583</v>
      </c>
      <c r="H145" s="2">
        <f t="shared" ca="1" si="51"/>
        <v>378.33547439262378</v>
      </c>
      <c r="I145" s="2">
        <f t="shared" ca="1" si="52"/>
        <v>385.17437757354759</v>
      </c>
      <c r="J145" s="2">
        <f t="shared" ca="1" si="58"/>
        <v>379.33468464751604</v>
      </c>
      <c r="K145" s="5">
        <f t="shared" ca="1" si="53"/>
        <v>375.97504662421937</v>
      </c>
      <c r="L145" s="2">
        <f t="shared" ca="1" si="42"/>
        <v>379.33468464751604</v>
      </c>
      <c r="M145" s="2">
        <f t="shared" ca="1" si="54"/>
        <v>0</v>
      </c>
      <c r="N145" s="2">
        <f t="shared" ca="1" si="44"/>
        <v>0</v>
      </c>
      <c r="O145" s="2">
        <f ca="1">COUNTIFS($C$2:C144,"&lt;="&amp;C145,$L$2:L144,"&gt;"&amp;C145)</f>
        <v>2</v>
      </c>
      <c r="P145" s="5">
        <f t="shared" ca="1" si="55"/>
        <v>0</v>
      </c>
      <c r="Q145" s="5">
        <f t="shared" ca="1" si="56"/>
        <v>0</v>
      </c>
      <c r="R145" s="5">
        <f t="shared" ca="1" si="57"/>
        <v>0</v>
      </c>
      <c r="S145" s="2">
        <f t="shared" ca="1" si="45"/>
        <v>0</v>
      </c>
      <c r="T145" s="4">
        <f t="shared" ca="1" si="46"/>
        <v>0</v>
      </c>
      <c r="U145">
        <f t="shared" ca="1" si="47"/>
        <v>3.3596380232966583</v>
      </c>
      <c r="V145" s="2"/>
      <c r="W145" s="2"/>
      <c r="X145" s="2"/>
      <c r="Y145" s="2"/>
      <c r="Z145" s="2"/>
      <c r="AA145" s="2"/>
      <c r="AB145" s="1"/>
      <c r="AC145" s="1"/>
      <c r="AD145" s="1"/>
      <c r="AE145" s="1"/>
      <c r="AF145" s="1"/>
      <c r="AG145" s="1"/>
      <c r="AH145" s="1"/>
      <c r="AI145" s="1"/>
    </row>
    <row r="146" spans="1:35" ht="18" x14ac:dyDescent="0.35">
      <c r="A146" s="2">
        <v>145</v>
      </c>
      <c r="B146" s="2">
        <f t="shared" ca="1" si="48"/>
        <v>5.7298363233887972</v>
      </c>
      <c r="C146" s="5">
        <f t="shared" ca="1" si="49"/>
        <v>381.70488294760816</v>
      </c>
      <c r="D146" s="2">
        <f t="shared" ca="1" si="43"/>
        <v>0.99954900467688856</v>
      </c>
      <c r="E146" s="2" t="str">
        <f ca="1">LOOKUP(RAND(),{0,0.4,0.7,0.9},{"DEPOSIT","WITHDRAWAL","INQUIRY","LOAN"})</f>
        <v>DEPOSIT</v>
      </c>
      <c r="F146" s="2" t="str">
        <f t="shared" ca="1" si="50"/>
        <v>t1</v>
      </c>
      <c r="G146" s="2">
        <f t="shared" ca="1" si="41"/>
        <v>1</v>
      </c>
      <c r="H146" s="2">
        <f t="shared" ca="1" si="51"/>
        <v>382.70488294760816</v>
      </c>
      <c r="I146" s="2">
        <f t="shared" ca="1" si="52"/>
        <v>385.17437757354759</v>
      </c>
      <c r="J146" s="2">
        <f t="shared" ca="1" si="58"/>
        <v>379.33468464751604</v>
      </c>
      <c r="K146" s="5">
        <f t="shared" ca="1" si="53"/>
        <v>381.70488294760816</v>
      </c>
      <c r="L146" s="2">
        <f t="shared" ca="1" si="42"/>
        <v>382.70488294760816</v>
      </c>
      <c r="M146" s="2">
        <f t="shared" ca="1" si="54"/>
        <v>0</v>
      </c>
      <c r="N146" s="2">
        <f t="shared" ca="1" si="44"/>
        <v>0</v>
      </c>
      <c r="O146" s="2">
        <f ca="1">COUNTIFS($C$2:C145,"&lt;="&amp;C146,$L$2:L145,"&gt;"&amp;C146)</f>
        <v>1</v>
      </c>
      <c r="P146" s="5">
        <f t="shared" ca="1" si="55"/>
        <v>0</v>
      </c>
      <c r="Q146" s="5">
        <f t="shared" ca="1" si="56"/>
        <v>0</v>
      </c>
      <c r="R146" s="5">
        <f t="shared" ca="1" si="57"/>
        <v>2.3701983000921132</v>
      </c>
      <c r="S146" s="2">
        <f t="shared" ca="1" si="45"/>
        <v>1</v>
      </c>
      <c r="T146" s="4">
        <f t="shared" ca="1" si="46"/>
        <v>0</v>
      </c>
      <c r="U146">
        <f t="shared" ca="1" si="47"/>
        <v>0</v>
      </c>
      <c r="V146" s="2"/>
      <c r="W146" s="2"/>
      <c r="X146" s="2"/>
      <c r="Y146" s="2"/>
      <c r="Z146" s="2"/>
      <c r="AA146" s="2"/>
      <c r="AB146" s="1"/>
      <c r="AC146" s="1"/>
      <c r="AD146" s="1"/>
      <c r="AE146" s="1"/>
      <c r="AF146" s="1"/>
      <c r="AG146" s="1"/>
      <c r="AH146" s="1"/>
      <c r="AI146" s="1"/>
    </row>
    <row r="147" spans="1:35" ht="18" x14ac:dyDescent="0.35">
      <c r="A147" s="2">
        <v>146</v>
      </c>
      <c r="B147" s="2">
        <f t="shared" ca="1" si="48"/>
        <v>0.72515654312062972</v>
      </c>
      <c r="C147" s="5">
        <f t="shared" ca="1" si="49"/>
        <v>382.4300394907288</v>
      </c>
      <c r="D147" s="2">
        <f t="shared" ca="1" si="43"/>
        <v>0.36434594706248558</v>
      </c>
      <c r="E147" s="2" t="str">
        <f ca="1">LOOKUP(RAND(),{0,0.4,0.7,0.9},{"DEPOSIT","WITHDRAWAL","INQUIRY","LOAN"})</f>
        <v>DEPOSIT</v>
      </c>
      <c r="F147" s="2" t="str">
        <f t="shared" ca="1" si="50"/>
        <v>t3</v>
      </c>
      <c r="G147" s="2">
        <f t="shared" ca="1" si="41"/>
        <v>5.048257293377624</v>
      </c>
      <c r="H147" s="2">
        <f t="shared" ca="1" si="51"/>
        <v>382.70488294760816</v>
      </c>
      <c r="I147" s="2">
        <f t="shared" ca="1" si="52"/>
        <v>385.17437757354759</v>
      </c>
      <c r="J147" s="2">
        <f t="shared" ca="1" si="58"/>
        <v>387.47829678410642</v>
      </c>
      <c r="K147" s="5">
        <f t="shared" ca="1" si="53"/>
        <v>382.4300394907288</v>
      </c>
      <c r="L147" s="2">
        <f t="shared" ca="1" si="42"/>
        <v>387.47829678410642</v>
      </c>
      <c r="M147" s="2">
        <f t="shared" ca="1" si="54"/>
        <v>0</v>
      </c>
      <c r="N147" s="2">
        <f t="shared" ca="1" si="44"/>
        <v>0</v>
      </c>
      <c r="O147" s="2">
        <f ca="1">COUNTIFS($C$2:C146,"&lt;="&amp;C147,$L$2:L146,"&gt;"&amp;C147)</f>
        <v>2</v>
      </c>
      <c r="P147" s="5">
        <f t="shared" ca="1" si="55"/>
        <v>0</v>
      </c>
      <c r="Q147" s="5">
        <f t="shared" ca="1" si="56"/>
        <v>0</v>
      </c>
      <c r="R147" s="5">
        <f t="shared" ca="1" si="57"/>
        <v>0</v>
      </c>
      <c r="S147" s="2">
        <f t="shared" ca="1" si="45"/>
        <v>0</v>
      </c>
      <c r="T147" s="4">
        <f t="shared" ca="1" si="46"/>
        <v>0</v>
      </c>
      <c r="U147">
        <f t="shared" ca="1" si="47"/>
        <v>5.048257293377624</v>
      </c>
      <c r="V147" s="2"/>
      <c r="W147" s="2"/>
      <c r="X147" s="2"/>
      <c r="Y147" s="2"/>
      <c r="Z147" s="2"/>
      <c r="AA147" s="2"/>
      <c r="AB147" s="1"/>
      <c r="AC147" s="1"/>
      <c r="AD147" s="1"/>
      <c r="AE147" s="1"/>
      <c r="AF147" s="1"/>
      <c r="AG147" s="1"/>
      <c r="AH147" s="1"/>
      <c r="AI147" s="1"/>
    </row>
    <row r="148" spans="1:35" ht="18" x14ac:dyDescent="0.35">
      <c r="A148" s="2">
        <v>147</v>
      </c>
      <c r="B148" s="2">
        <f t="shared" ca="1" si="48"/>
        <v>6.768567141026625</v>
      </c>
      <c r="C148" s="5">
        <f t="shared" ca="1" si="49"/>
        <v>389.19860663175541</v>
      </c>
      <c r="D148" s="2">
        <f t="shared" ca="1" si="43"/>
        <v>0.79860595549331137</v>
      </c>
      <c r="E148" s="2" t="str">
        <f ca="1">LOOKUP(RAND(),{0,0.4,0.7,0.9},{"DEPOSIT","WITHDRAWAL","INQUIRY","LOAN"})</f>
        <v>DEPOSIT</v>
      </c>
      <c r="F148" s="2" t="str">
        <f t="shared" ca="1" si="50"/>
        <v>t1</v>
      </c>
      <c r="G148" s="2">
        <f t="shared" ca="1" si="41"/>
        <v>1.1244381348185166</v>
      </c>
      <c r="H148" s="2">
        <f t="shared" ca="1" si="51"/>
        <v>390.3230447665739</v>
      </c>
      <c r="I148" s="2">
        <f t="shared" ca="1" si="52"/>
        <v>385.17437757354759</v>
      </c>
      <c r="J148" s="2">
        <f t="shared" ca="1" si="58"/>
        <v>387.47829678410642</v>
      </c>
      <c r="K148" s="5">
        <f t="shared" ca="1" si="53"/>
        <v>389.19860663175541</v>
      </c>
      <c r="L148" s="2">
        <f t="shared" ca="1" si="42"/>
        <v>390.3230447665739</v>
      </c>
      <c r="M148" s="2">
        <f t="shared" ca="1" si="54"/>
        <v>0</v>
      </c>
      <c r="N148" s="2">
        <f t="shared" ca="1" si="44"/>
        <v>0</v>
      </c>
      <c r="O148" s="2">
        <f ca="1">COUNTIFS($C$2:C147,"&lt;="&amp;C148,$L$2:L147,"&gt;"&amp;C148)</f>
        <v>0</v>
      </c>
      <c r="P148" s="5">
        <f t="shared" ca="1" si="55"/>
        <v>0</v>
      </c>
      <c r="Q148" s="5">
        <f t="shared" ca="1" si="56"/>
        <v>4.0242290582078226</v>
      </c>
      <c r="R148" s="5">
        <f t="shared" ca="1" si="57"/>
        <v>1.7203098476489913</v>
      </c>
      <c r="S148" s="2">
        <f t="shared" ca="1" si="45"/>
        <v>1.1244381348185166</v>
      </c>
      <c r="T148" s="4">
        <f t="shared" ca="1" si="46"/>
        <v>0</v>
      </c>
      <c r="U148">
        <f t="shared" ca="1" si="47"/>
        <v>0</v>
      </c>
      <c r="V148" s="2"/>
      <c r="W148" s="2"/>
      <c r="X148" s="2"/>
      <c r="Y148" s="2"/>
      <c r="Z148" s="2"/>
      <c r="AA148" s="2"/>
      <c r="AB148" s="1"/>
      <c r="AC148" s="1"/>
      <c r="AD148" s="1"/>
      <c r="AE148" s="1"/>
      <c r="AF148" s="1"/>
      <c r="AG148" s="1"/>
      <c r="AH148" s="1"/>
      <c r="AI148" s="1"/>
    </row>
    <row r="149" spans="1:35" ht="18" x14ac:dyDescent="0.35">
      <c r="A149" s="2">
        <v>148</v>
      </c>
      <c r="B149" s="2">
        <f t="shared" ca="1" si="48"/>
        <v>2.4144960642573872</v>
      </c>
      <c r="C149" s="5">
        <f t="shared" ca="1" si="49"/>
        <v>391.61310269601279</v>
      </c>
      <c r="D149" s="2">
        <f t="shared" ca="1" si="43"/>
        <v>0.94595972495759462</v>
      </c>
      <c r="E149" s="2" t="str">
        <f ca="1">LOOKUP(RAND(),{0,0.4,0.7,0.9},{"DEPOSIT","WITHDRAWAL","INQUIRY","LOAN"})</f>
        <v>INQUIRY</v>
      </c>
      <c r="F149" s="2" t="str">
        <f t="shared" ca="1" si="50"/>
        <v>t1</v>
      </c>
      <c r="G149" s="2">
        <f t="shared" ca="1" si="41"/>
        <v>1</v>
      </c>
      <c r="H149" s="2">
        <f t="shared" ca="1" si="51"/>
        <v>392.61310269601279</v>
      </c>
      <c r="I149" s="2">
        <f t="shared" ca="1" si="52"/>
        <v>385.17437757354759</v>
      </c>
      <c r="J149" s="2">
        <f t="shared" ca="1" si="58"/>
        <v>387.47829678410642</v>
      </c>
      <c r="K149" s="5">
        <f t="shared" ca="1" si="53"/>
        <v>391.61310269601279</v>
      </c>
      <c r="L149" s="2">
        <f t="shared" ca="1" si="42"/>
        <v>392.61310269601279</v>
      </c>
      <c r="M149" s="2">
        <f t="shared" ca="1" si="54"/>
        <v>0</v>
      </c>
      <c r="N149" s="2">
        <f t="shared" ca="1" si="44"/>
        <v>0</v>
      </c>
      <c r="O149" s="2">
        <f ca="1">COUNTIFS($C$2:C148,"&lt;="&amp;C149,$L$2:L148,"&gt;"&amp;C149)</f>
        <v>0</v>
      </c>
      <c r="P149" s="5">
        <f t="shared" ca="1" si="55"/>
        <v>0</v>
      </c>
      <c r="Q149" s="5">
        <f t="shared" ca="1" si="56"/>
        <v>6.4387251224652005</v>
      </c>
      <c r="R149" s="5">
        <f t="shared" ca="1" si="57"/>
        <v>4.1348059119063691</v>
      </c>
      <c r="S149" s="2">
        <f t="shared" ca="1" si="45"/>
        <v>1</v>
      </c>
      <c r="T149" s="4">
        <f t="shared" ca="1" si="46"/>
        <v>0</v>
      </c>
      <c r="U149">
        <f t="shared" ca="1" si="47"/>
        <v>0</v>
      </c>
      <c r="V149" s="2"/>
      <c r="W149" s="2"/>
      <c r="X149" s="2"/>
      <c r="Y149" s="2"/>
      <c r="Z149" s="2"/>
      <c r="AA149" s="2"/>
      <c r="AB149" s="1"/>
      <c r="AC149" s="1"/>
      <c r="AD149" s="1"/>
      <c r="AE149" s="1"/>
      <c r="AF149" s="1"/>
      <c r="AG149" s="1"/>
      <c r="AH149" s="1"/>
      <c r="AI149" s="1"/>
    </row>
    <row r="150" spans="1:35" ht="18" x14ac:dyDescent="0.35">
      <c r="A150" s="2">
        <v>149</v>
      </c>
      <c r="B150" s="2">
        <f t="shared" ca="1" si="48"/>
        <v>0.96801272517556025</v>
      </c>
      <c r="C150" s="5">
        <f t="shared" ca="1" si="49"/>
        <v>392.58111542118837</v>
      </c>
      <c r="D150" s="2">
        <f t="shared" ca="1" si="43"/>
        <v>0.3517252104769224</v>
      </c>
      <c r="E150" s="2" t="str">
        <f ca="1">LOOKUP(RAND(),{0,0.4,0.7,0.9},{"DEPOSIT","WITHDRAWAL","INQUIRY","LOAN"})</f>
        <v>WITHDRAWAL</v>
      </c>
      <c r="F150" s="2" t="str">
        <f t="shared" ca="1" si="50"/>
        <v>t2</v>
      </c>
      <c r="G150" s="2">
        <f t="shared" ca="1" si="41"/>
        <v>6.2694303618343579</v>
      </c>
      <c r="H150" s="2">
        <f t="shared" ca="1" si="51"/>
        <v>392.61310269601279</v>
      </c>
      <c r="I150" s="2">
        <f t="shared" ca="1" si="52"/>
        <v>398.85054578302271</v>
      </c>
      <c r="J150" s="2">
        <f ca="1">IF(F150="t3",L150,J149)</f>
        <v>387.47829678410642</v>
      </c>
      <c r="K150" s="5">
        <f t="shared" ca="1" si="53"/>
        <v>392.58111542118837</v>
      </c>
      <c r="L150" s="2">
        <f t="shared" ca="1" si="42"/>
        <v>398.85054578302271</v>
      </c>
      <c r="M150" s="2">
        <f t="shared" ca="1" si="54"/>
        <v>0</v>
      </c>
      <c r="N150" s="2">
        <f t="shared" ca="1" si="44"/>
        <v>0</v>
      </c>
      <c r="O150" s="2">
        <f ca="1">COUNTIFS($C$2:C149,"&lt;="&amp;C150,$L$2:L149,"&gt;"&amp;C150)</f>
        <v>1</v>
      </c>
      <c r="P150" s="5">
        <f ca="1">MAX(0,C150-H150)</f>
        <v>0</v>
      </c>
      <c r="Q150" s="5">
        <f t="shared" ca="1" si="56"/>
        <v>0</v>
      </c>
      <c r="R150" s="5">
        <f t="shared" ca="1" si="57"/>
        <v>5.1028186370819526</v>
      </c>
      <c r="S150" s="2">
        <f t="shared" ca="1" si="45"/>
        <v>0</v>
      </c>
      <c r="T150" s="4">
        <f t="shared" ca="1" si="46"/>
        <v>6.2694303618343579</v>
      </c>
      <c r="U150">
        <f t="shared" ca="1" si="47"/>
        <v>0</v>
      </c>
      <c r="V150" s="2"/>
      <c r="W150" s="2"/>
      <c r="X150" s="2"/>
      <c r="Y150" s="2"/>
      <c r="Z150" s="2"/>
      <c r="AA150" s="2"/>
      <c r="AB150" s="1"/>
      <c r="AC150" s="1"/>
      <c r="AD150" s="1"/>
      <c r="AE150" s="1"/>
      <c r="AF150" s="1"/>
      <c r="AG150" s="1"/>
      <c r="AH150" s="1"/>
      <c r="AI150" s="1"/>
    </row>
    <row r="151" spans="1:35" ht="18" x14ac:dyDescent="0.35">
      <c r="A151" s="2">
        <v>150</v>
      </c>
      <c r="B151" s="2">
        <f t="shared" ca="1" si="48"/>
        <v>0.22775571290369073</v>
      </c>
      <c r="C151" s="5">
        <f t="shared" ca="1" si="49"/>
        <v>392.80887113409204</v>
      </c>
      <c r="D151" s="2">
        <f t="shared" ca="1" si="43"/>
        <v>0.69411893024760551</v>
      </c>
      <c r="E151" s="2" t="str">
        <f ca="1">LOOKUP(RAND(),{0,0.4,0.7,0.9},{"DEPOSIT","WITHDRAWAL","INQUIRY","LOAN"})</f>
        <v>INQUIRY</v>
      </c>
      <c r="F151" s="2" t="str">
        <f t="shared" ca="1" si="50"/>
        <v>t3</v>
      </c>
      <c r="G151" s="2">
        <f t="shared" ca="1" si="41"/>
        <v>1.4604478556980049</v>
      </c>
      <c r="H151" s="2">
        <f t="shared" ca="1" si="51"/>
        <v>392.61310269601279</v>
      </c>
      <c r="I151" s="2">
        <f t="shared" ca="1" si="52"/>
        <v>398.85054578302271</v>
      </c>
      <c r="J151" s="2">
        <f t="shared" ca="1" si="58"/>
        <v>394.26931898979007</v>
      </c>
      <c r="K151" s="5">
        <f t="shared" ca="1" si="53"/>
        <v>392.80887113409204</v>
      </c>
      <c r="L151" s="2">
        <f t="shared" ca="1" si="42"/>
        <v>394.26931898979007</v>
      </c>
      <c r="M151" s="2">
        <f t="shared" ca="1" si="54"/>
        <v>0</v>
      </c>
      <c r="N151" s="2">
        <f t="shared" ca="1" si="44"/>
        <v>0</v>
      </c>
      <c r="O151" s="2">
        <f ca="1">COUNTIFS($C$2:C150,"&lt;="&amp;C151,$L$2:L150,"&gt;"&amp;C151)</f>
        <v>1</v>
      </c>
      <c r="P151" s="5">
        <f t="shared" ca="1" si="55"/>
        <v>0.1957684380792557</v>
      </c>
      <c r="Q151" s="5">
        <f t="shared" ca="1" si="56"/>
        <v>0</v>
      </c>
      <c r="R151" s="5">
        <f t="shared" ca="1" si="57"/>
        <v>0</v>
      </c>
      <c r="S151" s="2">
        <f t="shared" ca="1" si="45"/>
        <v>0</v>
      </c>
      <c r="T151" s="4">
        <f t="shared" ca="1" si="46"/>
        <v>0</v>
      </c>
      <c r="U151">
        <f t="shared" ca="1" si="47"/>
        <v>1.4604478556980049</v>
      </c>
      <c r="V151" s="2"/>
      <c r="W151" s="2"/>
      <c r="X151" s="2"/>
      <c r="Y151" s="2"/>
      <c r="Z151" s="2"/>
      <c r="AA151" s="2"/>
      <c r="AB151" s="1"/>
      <c r="AC151" s="1"/>
      <c r="AD151" s="1"/>
      <c r="AE151" s="1"/>
      <c r="AF151" s="1"/>
      <c r="AG151" s="1"/>
      <c r="AH151" s="1"/>
      <c r="AI151" s="1"/>
    </row>
    <row r="152" spans="1:35" ht="17.399999999999999" x14ac:dyDescent="0.35">
      <c r="A152" s="2">
        <v>151</v>
      </c>
      <c r="B152" s="2">
        <f t="shared" ca="1" si="48"/>
        <v>0.49909057951184804</v>
      </c>
      <c r="C152" s="5">
        <f t="shared" ca="1" si="49"/>
        <v>393.3079617136039</v>
      </c>
      <c r="D152" s="2">
        <f t="shared" ca="1" si="43"/>
        <v>0.45482191242486747</v>
      </c>
      <c r="E152" s="2" t="str">
        <f ca="1">LOOKUP(RAND(),{0,0.4,0.7,0.9},{"DEPOSIT","WITHDRAWAL","INQUIRY","LOAN"})</f>
        <v>DEPOSIT</v>
      </c>
      <c r="F152" s="2" t="str">
        <f t="shared" ca="1" si="50"/>
        <v>t1</v>
      </c>
      <c r="G152" s="2">
        <f t="shared" ca="1" si="41"/>
        <v>3.939246689563408</v>
      </c>
      <c r="H152" s="2">
        <f t="shared" ca="1" si="51"/>
        <v>397.24720840316729</v>
      </c>
      <c r="I152" s="2">
        <f t="shared" ca="1" si="52"/>
        <v>398.85054578302271</v>
      </c>
      <c r="J152" s="2">
        <f t="shared" ca="1" si="58"/>
        <v>394.26931898979007</v>
      </c>
      <c r="K152" s="5">
        <f t="shared" ca="1" si="53"/>
        <v>393.3079617136039</v>
      </c>
      <c r="L152" s="2">
        <f t="shared" ca="1" si="42"/>
        <v>397.24720840316729</v>
      </c>
      <c r="M152" s="2">
        <f t="shared" ca="1" si="54"/>
        <v>0</v>
      </c>
      <c r="N152" s="2">
        <f t="shared" ca="1" si="44"/>
        <v>0</v>
      </c>
      <c r="O152" s="2">
        <f ca="1">COUNTIFS($C$2:C151,"&lt;="&amp;C152,$L$2:L151,"&gt;"&amp;C152)</f>
        <v>2</v>
      </c>
      <c r="P152" s="5">
        <f t="shared" ca="1" si="55"/>
        <v>0</v>
      </c>
      <c r="Q152" s="5">
        <f t="shared" ca="1" si="56"/>
        <v>0</v>
      </c>
      <c r="R152" s="5">
        <f t="shared" ca="1" si="57"/>
        <v>0</v>
      </c>
      <c r="S152" s="2">
        <f t="shared" ca="1" si="45"/>
        <v>3.939246689563408</v>
      </c>
      <c r="T152" s="4">
        <f t="shared" ca="1" si="46"/>
        <v>0</v>
      </c>
      <c r="U152">
        <f t="shared" ca="1" si="47"/>
        <v>0</v>
      </c>
    </row>
    <row r="153" spans="1:35" ht="17.399999999999999" x14ac:dyDescent="0.35">
      <c r="A153" s="2">
        <v>152</v>
      </c>
      <c r="B153" s="2">
        <f t="shared" ca="1" si="48"/>
        <v>1.9695204629691592</v>
      </c>
      <c r="C153" s="5">
        <f t="shared" ca="1" si="49"/>
        <v>395.27748217657307</v>
      </c>
      <c r="D153" s="2">
        <f t="shared" ca="1" si="43"/>
        <v>0.94463627262838179</v>
      </c>
      <c r="E153" s="2" t="str">
        <f ca="1">LOOKUP(RAND(),{0,0.4,0.7,0.9},{"DEPOSIT","WITHDRAWAL","INQUIRY","LOAN"})</f>
        <v>WITHDRAWAL</v>
      </c>
      <c r="F153" s="2" t="str">
        <f t="shared" ca="1" si="50"/>
        <v>t3</v>
      </c>
      <c r="G153" s="2">
        <f t="shared" ca="1" si="41"/>
        <v>1</v>
      </c>
      <c r="H153" s="2">
        <f t="shared" ca="1" si="51"/>
        <v>397.24720840316729</v>
      </c>
      <c r="I153" s="2">
        <f t="shared" ca="1" si="52"/>
        <v>398.85054578302271</v>
      </c>
      <c r="J153" s="2">
        <f t="shared" ca="1" si="58"/>
        <v>396.27748217657307</v>
      </c>
      <c r="K153" s="5">
        <f t="shared" ca="1" si="53"/>
        <v>395.27748217657307</v>
      </c>
      <c r="L153" s="2">
        <f t="shared" ca="1" si="42"/>
        <v>396.27748217657307</v>
      </c>
      <c r="M153" s="2">
        <f t="shared" ca="1" si="54"/>
        <v>0</v>
      </c>
      <c r="N153" s="2">
        <f t="shared" ca="1" si="44"/>
        <v>0</v>
      </c>
      <c r="O153" s="2">
        <f ca="1">COUNTIFS($C$2:C152,"&lt;="&amp;C153,$L$2:L152,"&gt;"&amp;C153)</f>
        <v>2</v>
      </c>
      <c r="P153" s="5">
        <f t="shared" ca="1" si="55"/>
        <v>0</v>
      </c>
      <c r="Q153" s="5">
        <f t="shared" ca="1" si="56"/>
        <v>0</v>
      </c>
      <c r="R153" s="5">
        <f t="shared" ca="1" si="57"/>
        <v>0</v>
      </c>
      <c r="S153" s="2">
        <f t="shared" ca="1" si="45"/>
        <v>0</v>
      </c>
      <c r="T153" s="4">
        <f t="shared" ca="1" si="46"/>
        <v>0</v>
      </c>
      <c r="U153">
        <f t="shared" ca="1" si="47"/>
        <v>1</v>
      </c>
    </row>
    <row r="154" spans="1:35" ht="17.399999999999999" x14ac:dyDescent="0.35">
      <c r="A154" s="2">
        <v>153</v>
      </c>
      <c r="B154" s="2">
        <f t="shared" ca="1" si="48"/>
        <v>1.2097679677568347</v>
      </c>
      <c r="C154" s="5">
        <f t="shared" ca="1" si="49"/>
        <v>396.48725014432989</v>
      </c>
      <c r="D154" s="2">
        <f t="shared" ca="1" si="43"/>
        <v>0.30041233842561232</v>
      </c>
      <c r="E154" s="2" t="str">
        <f ca="1">LOOKUP(RAND(),{0,0.4,0.7,0.9},{"DEPOSIT","WITHDRAWAL","INQUIRY","LOAN"})</f>
        <v>DEPOSIT</v>
      </c>
      <c r="F154" s="2" t="str">
        <f t="shared" ca="1" si="50"/>
        <v>t3</v>
      </c>
      <c r="G154" s="2">
        <f t="shared" ca="1" si="41"/>
        <v>6.0129964330734831</v>
      </c>
      <c r="H154" s="2">
        <f t="shared" ca="1" si="51"/>
        <v>397.24720840316729</v>
      </c>
      <c r="I154" s="2">
        <f t="shared" ca="1" si="52"/>
        <v>398.85054578302271</v>
      </c>
      <c r="J154" s="2">
        <f t="shared" ca="1" si="58"/>
        <v>402.5002465774034</v>
      </c>
      <c r="K154" s="5">
        <f t="shared" ca="1" si="53"/>
        <v>396.48725014432989</v>
      </c>
      <c r="L154" s="2">
        <f t="shared" ca="1" si="42"/>
        <v>402.5002465774034</v>
      </c>
      <c r="M154" s="2">
        <f t="shared" ca="1" si="54"/>
        <v>0</v>
      </c>
      <c r="N154" s="2">
        <f t="shared" ca="1" si="44"/>
        <v>0</v>
      </c>
      <c r="O154" s="2">
        <f ca="1">COUNTIFS($C$2:C153,"&lt;="&amp;C154,$L$2:L153,"&gt;"&amp;C154)</f>
        <v>2</v>
      </c>
      <c r="P154" s="5">
        <f t="shared" ca="1" si="55"/>
        <v>0</v>
      </c>
      <c r="Q154" s="5">
        <f t="shared" ca="1" si="56"/>
        <v>0</v>
      </c>
      <c r="R154" s="5">
        <f t="shared" ca="1" si="57"/>
        <v>0</v>
      </c>
      <c r="S154" s="2">
        <f t="shared" ca="1" si="45"/>
        <v>0</v>
      </c>
      <c r="T154" s="4">
        <f t="shared" ca="1" si="46"/>
        <v>0</v>
      </c>
      <c r="U154">
        <f t="shared" ca="1" si="47"/>
        <v>6.0129964330734831</v>
      </c>
    </row>
    <row r="155" spans="1:35" ht="17.399999999999999" x14ac:dyDescent="0.35">
      <c r="A155" s="2">
        <v>154</v>
      </c>
      <c r="B155" s="2">
        <f t="shared" ca="1" si="48"/>
        <v>2.9875744180160853</v>
      </c>
      <c r="C155" s="5">
        <f t="shared" ca="1" si="49"/>
        <v>399.47482456234599</v>
      </c>
      <c r="D155" s="2">
        <f t="shared" ca="1" si="43"/>
        <v>0.24348589515390728</v>
      </c>
      <c r="E155" s="2" t="str">
        <f ca="1">LOOKUP(RAND(),{0,0.4,0.7,0.9},{"DEPOSIT","WITHDRAWAL","INQUIRY","LOAN"})</f>
        <v>WITHDRAWAL</v>
      </c>
      <c r="F155" s="2" t="str">
        <f t="shared" ca="1" si="50"/>
        <v>t1</v>
      </c>
      <c r="G155" s="2">
        <f t="shared" ca="1" si="41"/>
        <v>8.4761775814992113</v>
      </c>
      <c r="H155" s="2">
        <f t="shared" ca="1" si="51"/>
        <v>407.95100214384519</v>
      </c>
      <c r="I155" s="2">
        <f t="shared" ca="1" si="52"/>
        <v>398.85054578302271</v>
      </c>
      <c r="J155" s="2">
        <f t="shared" ca="1" si="58"/>
        <v>402.5002465774034</v>
      </c>
      <c r="K155" s="5">
        <f t="shared" ca="1" si="53"/>
        <v>399.47482456234599</v>
      </c>
      <c r="L155" s="2">
        <f t="shared" ca="1" si="42"/>
        <v>407.95100214384519</v>
      </c>
      <c r="M155" s="2">
        <f t="shared" ca="1" si="54"/>
        <v>0</v>
      </c>
      <c r="N155" s="2">
        <f t="shared" ca="1" si="44"/>
        <v>0</v>
      </c>
      <c r="O155" s="2">
        <f ca="1">COUNTIFS($C$2:C154,"&lt;="&amp;C155,$L$2:L154,"&gt;"&amp;C155)</f>
        <v>1</v>
      </c>
      <c r="P155" s="5">
        <f t="shared" ca="1" si="55"/>
        <v>0</v>
      </c>
      <c r="Q155" s="5">
        <f t="shared" ca="1" si="56"/>
        <v>0.62427877932327647</v>
      </c>
      <c r="R155" s="5">
        <f t="shared" ca="1" si="57"/>
        <v>0</v>
      </c>
      <c r="S155" s="2">
        <f t="shared" ca="1" si="45"/>
        <v>8.4761775814992113</v>
      </c>
      <c r="T155" s="4">
        <f t="shared" ca="1" si="46"/>
        <v>0</v>
      </c>
      <c r="U155">
        <f t="shared" ca="1" si="47"/>
        <v>0</v>
      </c>
    </row>
    <row r="156" spans="1:35" ht="17.399999999999999" x14ac:dyDescent="0.35">
      <c r="A156" s="2">
        <v>155</v>
      </c>
      <c r="B156" s="2">
        <f t="shared" ca="1" si="48"/>
        <v>0.94711955863302211</v>
      </c>
      <c r="C156" s="5">
        <f t="shared" ca="1" si="49"/>
        <v>400.42194412097899</v>
      </c>
      <c r="D156" s="2">
        <f t="shared" ca="1" si="43"/>
        <v>0.21628244987196243</v>
      </c>
      <c r="E156" s="2" t="str">
        <f ca="1">LOOKUP(RAND(),{0,0.4,0.7,0.9},{"DEPOSIT","WITHDRAWAL","INQUIRY","LOAN"})</f>
        <v>INQUIRY</v>
      </c>
      <c r="F156" s="2" t="str">
        <f t="shared" ca="1" si="50"/>
        <v>t2</v>
      </c>
      <c r="G156" s="2">
        <f t="shared" ca="1" si="41"/>
        <v>6.1246803488648744</v>
      </c>
      <c r="H156" s="2">
        <f t="shared" ca="1" si="51"/>
        <v>407.95100214384519</v>
      </c>
      <c r="I156" s="2">
        <f ca="1">IF(F156="t2",L156,I155)</f>
        <v>406.54662446984389</v>
      </c>
      <c r="J156" s="2">
        <f ca="1">IF(F156="t3",L156,J155)</f>
        <v>402.5002465774034</v>
      </c>
      <c r="K156" s="5">
        <f t="shared" ca="1" si="53"/>
        <v>400.42194412097899</v>
      </c>
      <c r="L156" s="2">
        <f t="shared" ca="1" si="42"/>
        <v>406.54662446984389</v>
      </c>
      <c r="M156" s="2">
        <f t="shared" ca="1" si="54"/>
        <v>0</v>
      </c>
      <c r="N156" s="2">
        <f t="shared" ca="1" si="44"/>
        <v>0</v>
      </c>
      <c r="O156" s="2">
        <f ca="1">COUNTIFS($C$2:C155,"&lt;="&amp;C156,$L$2:L155,"&gt;"&amp;C156)</f>
        <v>2</v>
      </c>
      <c r="P156" s="5">
        <f t="shared" ca="1" si="55"/>
        <v>0</v>
      </c>
      <c r="Q156" s="5">
        <f t="shared" ca="1" si="56"/>
        <v>0</v>
      </c>
      <c r="R156" s="5">
        <f t="shared" ca="1" si="57"/>
        <v>0</v>
      </c>
      <c r="S156" s="2">
        <f t="shared" ca="1" si="45"/>
        <v>0</v>
      </c>
      <c r="T156" s="4">
        <f t="shared" ca="1" si="46"/>
        <v>6.1246803488648744</v>
      </c>
      <c r="U156">
        <f t="shared" ca="1" si="47"/>
        <v>0</v>
      </c>
    </row>
    <row r="157" spans="1:35" ht="17.399999999999999" x14ac:dyDescent="0.35">
      <c r="A157" s="2">
        <v>156</v>
      </c>
      <c r="B157" s="2">
        <f t="shared" ca="1" si="48"/>
        <v>2.1286029768974948</v>
      </c>
      <c r="C157" s="5">
        <f t="shared" ca="1" si="49"/>
        <v>402.55054709787646</v>
      </c>
      <c r="D157" s="2">
        <f t="shared" ca="1" si="43"/>
        <v>0.13912026916091247</v>
      </c>
      <c r="E157" s="2" t="str">
        <f ca="1">LOOKUP(RAND(),{0,0.4,0.7,0.9},{"DEPOSIT","WITHDRAWAL","INQUIRY","LOAN"})</f>
        <v>DEPOSIT</v>
      </c>
      <c r="F157" s="2" t="str">
        <f t="shared" ca="1" si="50"/>
        <v>t3</v>
      </c>
      <c r="G157" s="2">
        <f t="shared" ca="1" si="41"/>
        <v>9.8620823709940861</v>
      </c>
      <c r="H157" s="2">
        <f ca="1">IF(F157="t1",L157,H156)</f>
        <v>407.95100214384519</v>
      </c>
      <c r="I157" s="2">
        <f t="shared" ca="1" si="52"/>
        <v>406.54662446984389</v>
      </c>
      <c r="J157" s="2">
        <f t="shared" ca="1" si="58"/>
        <v>412.41262946887053</v>
      </c>
      <c r="K157" s="5">
        <f t="shared" ca="1" si="53"/>
        <v>402.55054709787646</v>
      </c>
      <c r="L157" s="2">
        <f t="shared" ca="1" si="42"/>
        <v>412.41262946887053</v>
      </c>
      <c r="M157" s="2">
        <f t="shared" ca="1" si="54"/>
        <v>0</v>
      </c>
      <c r="N157" s="2">
        <f t="shared" ca="1" si="44"/>
        <v>0</v>
      </c>
      <c r="O157" s="2">
        <f ca="1">COUNTIFS($C$2:C156,"&lt;="&amp;C157,$L$2:L156,"&gt;"&amp;C157)</f>
        <v>2</v>
      </c>
      <c r="P157" s="5">
        <f t="shared" ca="1" si="55"/>
        <v>0</v>
      </c>
      <c r="Q157" s="5">
        <f t="shared" ca="1" si="56"/>
        <v>0</v>
      </c>
      <c r="R157" s="5">
        <f t="shared" ca="1" si="57"/>
        <v>0</v>
      </c>
      <c r="S157" s="2">
        <f t="shared" ca="1" si="45"/>
        <v>0</v>
      </c>
      <c r="T157" s="4">
        <f t="shared" ca="1" si="46"/>
        <v>0</v>
      </c>
      <c r="U157">
        <f t="shared" ca="1" si="47"/>
        <v>9.8620823709940861</v>
      </c>
    </row>
    <row r="158" spans="1:35" ht="17.399999999999999" x14ac:dyDescent="0.35">
      <c r="A158" s="2">
        <v>157</v>
      </c>
      <c r="B158" s="2">
        <f t="shared" ca="1" si="48"/>
        <v>2.9061592173795923</v>
      </c>
      <c r="C158" s="5">
        <f t="shared" ca="1" si="49"/>
        <v>405.45670631525604</v>
      </c>
      <c r="D158" s="2">
        <f t="shared" ca="1" si="43"/>
        <v>0.41569926695283765</v>
      </c>
      <c r="E158" s="2" t="str">
        <f ca="1">LOOKUP(RAND(),{0,0.4,0.7,0.9},{"DEPOSIT","WITHDRAWAL","INQUIRY","LOAN"})</f>
        <v>WITHDRAWAL</v>
      </c>
      <c r="F158" s="2" t="str">
        <f t="shared" ca="1" si="50"/>
        <v>t2</v>
      </c>
      <c r="G158" s="2">
        <f t="shared" ca="1" si="41"/>
        <v>5.2667591767763255</v>
      </c>
      <c r="H158" s="2">
        <f t="shared" ca="1" si="51"/>
        <v>407.95100214384519</v>
      </c>
      <c r="I158" s="2">
        <f t="shared" ca="1" si="52"/>
        <v>411.8133836466202</v>
      </c>
      <c r="J158" s="2">
        <f ca="1">IF(F158="t3",L158,J157)</f>
        <v>412.41262946887053</v>
      </c>
      <c r="K158" s="5">
        <f t="shared" ca="1" si="53"/>
        <v>406.54662446984389</v>
      </c>
      <c r="L158" s="2">
        <f t="shared" ca="1" si="42"/>
        <v>411.8133836466202</v>
      </c>
      <c r="M158" s="2">
        <f t="shared" ca="1" si="54"/>
        <v>1.0899181545878491</v>
      </c>
      <c r="N158" s="2">
        <f t="shared" ca="1" si="44"/>
        <v>1</v>
      </c>
      <c r="O158" s="2">
        <f ca="1">COUNTIFS($C$2:C157,"&lt;="&amp;C158,$L$2:L157,"&gt;"&amp;C158)</f>
        <v>3</v>
      </c>
      <c r="P158" s="5">
        <f t="shared" ca="1" si="55"/>
        <v>0</v>
      </c>
      <c r="Q158" s="5">
        <f t="shared" ca="1" si="56"/>
        <v>0</v>
      </c>
      <c r="R158" s="5">
        <f t="shared" ca="1" si="57"/>
        <v>0</v>
      </c>
      <c r="S158" s="2">
        <f t="shared" ca="1" si="45"/>
        <v>0</v>
      </c>
      <c r="T158" s="4">
        <f t="shared" ca="1" si="46"/>
        <v>5.2667591767763255</v>
      </c>
      <c r="U158">
        <f t="shared" ca="1" si="47"/>
        <v>0</v>
      </c>
    </row>
    <row r="159" spans="1:35" ht="17.399999999999999" x14ac:dyDescent="0.35">
      <c r="A159" s="2">
        <v>158</v>
      </c>
      <c r="B159" s="2">
        <f t="shared" ca="1" si="48"/>
        <v>3.5086742150535439</v>
      </c>
      <c r="C159" s="5">
        <f t="shared" ca="1" si="49"/>
        <v>408.96538053030957</v>
      </c>
      <c r="D159" s="2">
        <f t="shared" ca="1" si="43"/>
        <v>0.75563710918358429</v>
      </c>
      <c r="E159" s="2" t="str">
        <f ca="1">LOOKUP(RAND(),{0,0.4,0.7,0.9},{"DEPOSIT","WITHDRAWAL","INQUIRY","LOAN"})</f>
        <v>DEPOSIT</v>
      </c>
      <c r="F159" s="2" t="str">
        <f t="shared" ca="1" si="50"/>
        <v>t1</v>
      </c>
      <c r="G159" s="2">
        <f t="shared" ca="1" si="41"/>
        <v>1.4009701617689023</v>
      </c>
      <c r="H159" s="2">
        <f t="shared" ca="1" si="51"/>
        <v>410.36635069207847</v>
      </c>
      <c r="I159" s="2">
        <f t="shared" ca="1" si="52"/>
        <v>411.8133836466202</v>
      </c>
      <c r="J159" s="2">
        <f t="shared" ca="1" si="58"/>
        <v>412.41262946887053</v>
      </c>
      <c r="K159" s="5">
        <f t="shared" ca="1" si="53"/>
        <v>408.96538053030957</v>
      </c>
      <c r="L159" s="2">
        <f t="shared" ca="1" si="42"/>
        <v>410.36635069207847</v>
      </c>
      <c r="M159" s="2">
        <f t="shared" ca="1" si="54"/>
        <v>0</v>
      </c>
      <c r="N159" s="2">
        <f t="shared" ca="1" si="44"/>
        <v>0</v>
      </c>
      <c r="O159" s="2">
        <f ca="1">COUNTIFS($C$2:C158,"&lt;="&amp;C159,$L$2:L158,"&gt;"&amp;C159)</f>
        <v>2</v>
      </c>
      <c r="P159" s="5">
        <f t="shared" ca="1" si="55"/>
        <v>0</v>
      </c>
      <c r="Q159" s="5">
        <f t="shared" ca="1" si="56"/>
        <v>0</v>
      </c>
      <c r="R159" s="5">
        <f t="shared" ca="1" si="57"/>
        <v>0</v>
      </c>
      <c r="S159" s="2">
        <f t="shared" ca="1" si="45"/>
        <v>1.4009701617689023</v>
      </c>
      <c r="T159" s="4">
        <f t="shared" ca="1" si="46"/>
        <v>0</v>
      </c>
      <c r="U159">
        <f t="shared" ca="1" si="47"/>
        <v>0</v>
      </c>
    </row>
    <row r="160" spans="1:35" ht="17.399999999999999" x14ac:dyDescent="0.35">
      <c r="A160" s="2">
        <v>159</v>
      </c>
      <c r="B160" s="2">
        <f t="shared" ca="1" si="48"/>
        <v>0.29717053474258237</v>
      </c>
      <c r="C160" s="5">
        <f t="shared" ca="1" si="49"/>
        <v>409.26255106505215</v>
      </c>
      <c r="D160" s="2">
        <f t="shared" ca="1" si="43"/>
        <v>0.39416692584480184</v>
      </c>
      <c r="E160" s="2" t="str">
        <f ca="1">LOOKUP(RAND(),{0,0.4,0.7,0.9},{"DEPOSIT","WITHDRAWAL","INQUIRY","LOAN"})</f>
        <v>WITHDRAWAL</v>
      </c>
      <c r="F160" s="2" t="str">
        <f t="shared" ca="1" si="50"/>
        <v>t1</v>
      </c>
      <c r="G160" s="2">
        <f t="shared" ca="1" si="41"/>
        <v>5.5858847384999635</v>
      </c>
      <c r="H160" s="2">
        <f t="shared" ca="1" si="51"/>
        <v>415.95223543057841</v>
      </c>
      <c r="I160" s="2">
        <f t="shared" ca="1" si="52"/>
        <v>411.8133836466202</v>
      </c>
      <c r="J160" s="2">
        <f ca="1">IF(F160="t3",L160,J159)</f>
        <v>412.41262946887053</v>
      </c>
      <c r="K160" s="5">
        <f t="shared" ca="1" si="53"/>
        <v>410.36635069207847</v>
      </c>
      <c r="L160" s="5">
        <f ca="1">K160+G160</f>
        <v>415.95223543057841</v>
      </c>
      <c r="M160" s="2">
        <f t="shared" ca="1" si="54"/>
        <v>1.1037996270263193</v>
      </c>
      <c r="N160" s="2">
        <f t="shared" ca="1" si="44"/>
        <v>1</v>
      </c>
      <c r="O160" s="2">
        <f ca="1">COUNTIFS($C$2:C159,"&lt;="&amp;C160,$L$2:L159,"&gt;"&amp;C160)</f>
        <v>3</v>
      </c>
      <c r="P160" s="5">
        <f t="shared" ca="1" si="55"/>
        <v>0</v>
      </c>
      <c r="Q160" s="5">
        <f t="shared" ca="1" si="56"/>
        <v>0</v>
      </c>
      <c r="R160" s="5">
        <f t="shared" ca="1" si="57"/>
        <v>0</v>
      </c>
      <c r="S160" s="2">
        <f t="shared" ca="1" si="45"/>
        <v>5.5858847384999635</v>
      </c>
      <c r="T160" s="4">
        <f t="shared" ca="1" si="46"/>
        <v>0</v>
      </c>
      <c r="U160">
        <f t="shared" ca="1" si="47"/>
        <v>0</v>
      </c>
    </row>
    <row r="161" spans="1:22" ht="17.399999999999999" x14ac:dyDescent="0.35">
      <c r="A161" s="2">
        <v>160</v>
      </c>
      <c r="B161" s="2">
        <f t="shared" ca="1" si="48"/>
        <v>3.6663288049808247</v>
      </c>
      <c r="C161" s="5">
        <f t="shared" ca="1" si="49"/>
        <v>412.92887987003297</v>
      </c>
      <c r="D161" s="2">
        <f t="shared" ca="1" si="43"/>
        <v>0.18412037071511989</v>
      </c>
      <c r="E161" s="2" t="str">
        <f ca="1">LOOKUP(RAND(),{0,0.4,0.7,0.9},{"DEPOSIT","WITHDRAWAL","INQUIRY","LOAN"})</f>
        <v>INQUIRY</v>
      </c>
      <c r="F161" s="2" t="str">
        <f t="shared" ca="1" si="50"/>
        <v>t2</v>
      </c>
      <c r="G161" s="2">
        <f t="shared" ca="1" si="41"/>
        <v>6.7686621863686076</v>
      </c>
      <c r="H161" s="2">
        <f t="shared" ca="1" si="51"/>
        <v>415.95223543057841</v>
      </c>
      <c r="I161" s="2">
        <f t="shared" ca="1" si="52"/>
        <v>419.69754205640157</v>
      </c>
      <c r="J161" s="2">
        <f ca="1">IF(F161="t3",L161,J160)</f>
        <v>412.41262946887053</v>
      </c>
      <c r="K161" s="5">
        <f t="shared" ca="1" si="53"/>
        <v>412.92887987003297</v>
      </c>
      <c r="L161" s="2">
        <f t="shared" ca="1" si="42"/>
        <v>419.69754205640157</v>
      </c>
      <c r="M161" s="2">
        <f t="shared" ca="1" si="54"/>
        <v>0</v>
      </c>
      <c r="N161" s="2">
        <f t="shared" ca="1" si="44"/>
        <v>0</v>
      </c>
      <c r="O161" s="2">
        <f ca="1">COUNTIFS($C$2:C160,"&lt;="&amp;C161,$L$2:L160,"&gt;"&amp;C161)</f>
        <v>1</v>
      </c>
      <c r="P161" s="5">
        <f t="shared" ca="1" si="55"/>
        <v>0</v>
      </c>
      <c r="Q161" s="5">
        <f t="shared" ca="1" si="56"/>
        <v>0</v>
      </c>
      <c r="R161" s="5">
        <f t="shared" ca="1" si="57"/>
        <v>0.51625040116243781</v>
      </c>
      <c r="S161" s="2">
        <f t="shared" ca="1" si="45"/>
        <v>0</v>
      </c>
      <c r="T161" s="4">
        <f t="shared" ca="1" si="46"/>
        <v>6.7686621863686076</v>
      </c>
      <c r="U161">
        <f t="shared" ca="1" si="47"/>
        <v>0</v>
      </c>
    </row>
    <row r="162" spans="1:22" ht="18" x14ac:dyDescent="0.35">
      <c r="A162" s="1"/>
      <c r="B162" s="1">
        <f ca="1">SUM(B2:B161)</f>
        <v>412.92887987003297</v>
      </c>
      <c r="C162" s="1"/>
      <c r="D162" s="1"/>
      <c r="E162" s="1"/>
      <c r="F162" s="1"/>
      <c r="G162" s="1">
        <f ca="1">SUM(G2:G161)</f>
        <v>949.7684172334499</v>
      </c>
      <c r="H162" s="1"/>
      <c r="I162" s="1"/>
      <c r="J162" s="1"/>
      <c r="K162" s="1"/>
      <c r="L162" s="1"/>
      <c r="M162" s="1">
        <f ca="1">SUM(M2:M161)</f>
        <v>391.92164009548634</v>
      </c>
      <c r="N162" s="1">
        <f ca="1">SUM(N2:N161)</f>
        <v>78</v>
      </c>
      <c r="O162" s="1"/>
      <c r="P162" s="1"/>
      <c r="Q162" s="1"/>
      <c r="R162" s="1"/>
      <c r="S162" s="2">
        <f ca="1">SUM(S2:S161)</f>
        <v>325.03177272662396</v>
      </c>
      <c r="T162" s="1">
        <f ca="1">SUM(T2:T161)</f>
        <v>331.28438599702741</v>
      </c>
      <c r="U162">
        <f ca="1">SUM(U2:U161)</f>
        <v>293.45225850979841</v>
      </c>
      <c r="V162" t="s">
        <v>41</v>
      </c>
    </row>
    <row r="163" spans="1:22" ht="18" x14ac:dyDescent="0.35">
      <c r="A163" s="1"/>
      <c r="B163" s="1">
        <f ca="1">B162/160</f>
        <v>2.5808054991877061</v>
      </c>
      <c r="C163" s="1"/>
      <c r="D163" s="1"/>
      <c r="E163" s="1"/>
      <c r="F163" s="1"/>
      <c r="G163" s="1">
        <f ca="1">G162/160</f>
        <v>5.9360526077090618</v>
      </c>
      <c r="H163" s="1"/>
      <c r="I163" s="1"/>
      <c r="J163" s="1"/>
      <c r="K163" s="1"/>
      <c r="L163" s="1"/>
      <c r="M163" s="1">
        <f ca="1">M162/L161</f>
        <v>0.93381924081608625</v>
      </c>
      <c r="N163" s="1">
        <f ca="1">N162/160</f>
        <v>0.48749999999999999</v>
      </c>
      <c r="O163" s="1"/>
      <c r="P163" s="1"/>
      <c r="Q163" s="1"/>
      <c r="R163" s="1"/>
      <c r="S163" s="2">
        <f ca="1">S162/L161</f>
        <v>0.7744428788742922</v>
      </c>
      <c r="T163" s="1">
        <f ca="1">T162/L161</f>
        <v>0.78934078187312173</v>
      </c>
      <c r="U163">
        <f ca="1">U162/L161</f>
        <v>0.69919937360596329</v>
      </c>
      <c r="V163" t="s">
        <v>42</v>
      </c>
    </row>
    <row r="164" spans="1:22" ht="16.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>
        <f ca="1">MAX(M2:M161)</f>
        <v>17.23103990364827</v>
      </c>
      <c r="N164" s="1"/>
      <c r="O164" s="1"/>
      <c r="P164" s="1"/>
      <c r="Q164" s="1"/>
      <c r="R164" s="1"/>
      <c r="T164" s="1"/>
      <c r="V164" s="1" t="s">
        <v>44</v>
      </c>
    </row>
    <row r="165" spans="1:22" ht="16.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2">
        <f ca="1">S162/L161</f>
        <v>0.7744428788742922</v>
      </c>
      <c r="T165" s="13">
        <f ca="1">T162/L161</f>
        <v>0.78934078187312173</v>
      </c>
      <c r="U165" s="12">
        <f ca="1">U162/L161</f>
        <v>0.69919937360596329</v>
      </c>
      <c r="V165" s="1" t="s">
        <v>45</v>
      </c>
    </row>
    <row r="166" spans="1:22" ht="16.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2" ht="16.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2" ht="16.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2" ht="16.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2" ht="16.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2" ht="16.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2" ht="16.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2" ht="16.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2" ht="16.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2" ht="16.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2" ht="16.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6.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6.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6.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6.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6.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6.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6.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6.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6.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6.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6.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6.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6.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6.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6.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6.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6.8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6.8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6.8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6.8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6.8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6.8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6.8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6.8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6.8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6.8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6.8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6.8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6.8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6.8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6.8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6.8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35" ht="16.8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35" ht="16.8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35" ht="16.8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35" ht="16.8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35" ht="16.8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35" ht="16.8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35" ht="16.8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35" ht="16.8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35" ht="16.8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35" ht="16.8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35" ht="16.8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35" ht="16.8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35" ht="16.8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35" ht="16.8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 ht="16.8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 ht="16.8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 ht="16.8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 ht="16.8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 ht="16.8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 ht="16.8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 ht="16.8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 ht="16.8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 ht="16.8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 ht="16.8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 ht="16.8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 ht="16.8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 ht="16.8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 ht="16.8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 ht="16.8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 ht="16.8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 ht="16.8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 ht="16.8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 ht="16.8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 ht="16.8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 ht="16.8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 ht="16.8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 ht="16.8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 ht="16.8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 ht="16.8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 ht="16.8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 ht="16.8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 ht="16.8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 ht="16.8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 ht="16.8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 ht="16.8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 ht="16.8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 ht="16.8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 ht="16.8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 ht="16.8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 ht="16.8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 ht="16.8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 ht="16.8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 ht="16.8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 ht="16.8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 ht="16.8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 ht="16.8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 ht="16.8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 ht="16.8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 ht="16.8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 ht="16.8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 ht="16.8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 ht="16.8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 ht="16.8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 ht="16.8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 ht="16.8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 ht="16.8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 ht="16.8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 ht="16.8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 ht="16.8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 ht="16.8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 ht="16.8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 ht="16.8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 ht="16.8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 ht="16.8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 ht="16.8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 ht="16.8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 ht="16.8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 ht="16.8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 ht="16.8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 ht="16.8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 ht="16.8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 ht="16.8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 ht="16.8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 ht="16.8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 ht="16.8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 ht="16.8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 ht="16.8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 ht="16.8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 ht="16.8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 ht="16.8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 ht="16.8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 ht="16.8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 ht="16.8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 ht="16.8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 ht="16.8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 ht="16.8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 ht="16.8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 ht="16.8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 ht="16.8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 ht="16.8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 ht="16.8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 ht="16.8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 ht="16.8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 ht="16.8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 ht="16.8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 ht="16.8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 ht="16.8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 ht="16.8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 ht="16.8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 ht="16.8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 ht="16.8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 ht="16.8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 ht="16.8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 ht="16.8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 ht="16.8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 ht="16.8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 ht="16.8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 ht="16.8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 ht="16.8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 ht="16.8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 ht="16.8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 ht="16.8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 ht="16.8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 ht="16.8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 ht="16.8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 ht="16.8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 ht="16.8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 ht="16.8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 ht="16.8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 ht="16.8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 ht="16.8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 ht="16.8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 ht="16.8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 ht="16.8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 ht="16.8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 ht="16.8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 ht="16.8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 ht="16.8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 ht="16.8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 ht="16.8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 ht="16.8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 ht="16.8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 ht="16.8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 ht="16.8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 ht="16.8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 ht="16.8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 ht="16.8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 ht="16.8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 ht="16.8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 ht="16.8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 ht="16.8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 ht="16.8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 ht="16.8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 ht="16.8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 ht="16.8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 ht="16.8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 ht="16.8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 ht="16.8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 ht="16.8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 ht="16.8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 ht="16.8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 ht="16.8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 ht="16.8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 ht="16.8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 ht="16.8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 ht="16.8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FFE3E-881A-4833-ACE5-886602907505}">
  <dimension ref="A1:AF155"/>
  <sheetViews>
    <sheetView zoomScale="77" workbookViewId="0">
      <selection activeCell="Z25" sqref="Z25"/>
    </sheetView>
  </sheetViews>
  <sheetFormatPr defaultRowHeight="14.4" x14ac:dyDescent="0.25"/>
  <sheetData>
    <row r="1" spans="1:32" ht="17.399999999999999" x14ac:dyDescent="0.35">
      <c r="A1" s="6" t="s">
        <v>0</v>
      </c>
      <c r="B1" s="2" t="s">
        <v>1</v>
      </c>
      <c r="C1" s="2" t="s">
        <v>2</v>
      </c>
      <c r="D1" s="2" t="s">
        <v>3</v>
      </c>
      <c r="E1" s="6" t="s">
        <v>4</v>
      </c>
      <c r="F1" s="2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25</v>
      </c>
      <c r="L1" s="7" t="s">
        <v>10</v>
      </c>
      <c r="M1" s="7" t="s">
        <v>11</v>
      </c>
      <c r="N1" s="6" t="s">
        <v>12</v>
      </c>
      <c r="O1" s="6" t="s">
        <v>43</v>
      </c>
      <c r="P1" s="2" t="s">
        <v>13</v>
      </c>
      <c r="Q1" s="6" t="s">
        <v>26</v>
      </c>
      <c r="R1" s="6" t="s">
        <v>46</v>
      </c>
      <c r="S1" s="6" t="s">
        <v>47</v>
      </c>
      <c r="T1" s="6" t="s">
        <v>48</v>
      </c>
      <c r="U1" s="6" t="s">
        <v>49</v>
      </c>
      <c r="V1" s="8" t="s">
        <v>50</v>
      </c>
      <c r="W1" s="8" t="s">
        <v>51</v>
      </c>
      <c r="X1" s="8" t="s">
        <v>52</v>
      </c>
      <c r="Y1" s="8"/>
      <c r="Z1" s="8"/>
      <c r="AA1" s="8"/>
      <c r="AB1" s="8"/>
      <c r="AC1" s="8"/>
      <c r="AD1" s="8"/>
      <c r="AE1" s="8"/>
      <c r="AF1" s="8"/>
    </row>
    <row r="2" spans="1:32" ht="15" x14ac:dyDescent="0.3">
      <c r="A2" s="6">
        <v>1</v>
      </c>
      <c r="B2" s="6">
        <v>0</v>
      </c>
      <c r="C2" s="6">
        <v>0</v>
      </c>
      <c r="D2" s="6">
        <f t="shared" ref="D2:D33" ca="1" si="0">RAND()</f>
        <v>0.293664079701349</v>
      </c>
      <c r="E2" s="6" t="str">
        <f ca="1">LOOKUP(RAND(),{0,0.4,0.7,0.9},{"DEPOSIT","WITHDRAWAL","INQUIRY","LOAN"})</f>
        <v>DEPOSIT</v>
      </c>
      <c r="F2" s="6" t="s">
        <v>18</v>
      </c>
      <c r="G2" s="6">
        <f t="shared" ref="G2:G33" ca="1" si="1">IF(E2="DEPOSIT",MAX(1,-5*LN(D2)),IF(E2="WITHDRAWAL",MAX(1,-6*LN(D2)),IF(E2="INQUIRY",MAX(1,-4*LN(D2)),MAX(1,-12*LN(D2)))))</f>
        <v>6.1265937547118625</v>
      </c>
      <c r="H2" s="6">
        <f ca="1">M2</f>
        <v>6.1265937547118625</v>
      </c>
      <c r="I2" s="6">
        <v>0</v>
      </c>
      <c r="J2" s="6">
        <v>0</v>
      </c>
      <c r="K2" s="6">
        <v>0</v>
      </c>
      <c r="L2" s="6">
        <f>C2</f>
        <v>0</v>
      </c>
      <c r="M2" s="6">
        <f t="shared" ref="M2:M33" ca="1" si="2">L2+G2</f>
        <v>6.1265937547118625</v>
      </c>
      <c r="N2" s="6">
        <f t="shared" ref="N2:N34" si="3">IF(C2&lt;MIN(H1,I1,J1),MIN(H1,I1,J1)-C2,0)</f>
        <v>0</v>
      </c>
      <c r="O2" s="6">
        <f t="shared" ref="O2:O66" si="4">IF(N2=0,0,1)</f>
        <v>0</v>
      </c>
      <c r="P2" s="6">
        <f ca="1">COUNTIFS($C1:C$2,"&lt;="&amp;C2,$M1:M$2,"&gt;"&amp;C2)</f>
        <v>1</v>
      </c>
      <c r="Q2" s="6">
        <f t="shared" ref="Q2:Q33" ca="1" si="5">MAX(0,C2-H2)</f>
        <v>0</v>
      </c>
      <c r="R2" s="6">
        <f t="shared" ref="R2:R33" si="6">MAX(0,C2-I2)</f>
        <v>0</v>
      </c>
      <c r="S2" s="6">
        <f t="shared" ref="S2:S33" si="7">MAX(0,C2-J2)</f>
        <v>0</v>
      </c>
      <c r="T2" s="6">
        <f t="shared" ref="T2:T33" si="8">MAX(0,C2-K2)</f>
        <v>0</v>
      </c>
      <c r="U2" s="6">
        <f ca="1">IF(F2="t1",G2,0)</f>
        <v>6.1265937547118625</v>
      </c>
      <c r="V2" s="8">
        <f>IF(F2="t2",G2,0)</f>
        <v>0</v>
      </c>
      <c r="W2" s="8">
        <f>IF(F2="t3",G2,0)</f>
        <v>0</v>
      </c>
      <c r="X2" s="8">
        <f>IF(F2="t4",G2,0)</f>
        <v>0</v>
      </c>
      <c r="Y2" s="8"/>
      <c r="Z2" s="8"/>
      <c r="AA2" s="8"/>
      <c r="AB2" s="8"/>
      <c r="AC2" s="8"/>
      <c r="AD2" s="8"/>
      <c r="AE2" s="8"/>
      <c r="AF2" s="8"/>
    </row>
    <row r="3" spans="1:32" ht="15" x14ac:dyDescent="0.3">
      <c r="A3" s="6">
        <v>2</v>
      </c>
      <c r="B3" s="6">
        <f t="shared" ref="B3:B34" ca="1" si="9">-LN(1-RAND())/(20/60)</f>
        <v>15.766975969484321</v>
      </c>
      <c r="C3" s="9">
        <f t="shared" ref="C3:C34" ca="1" si="10">C2+B3</f>
        <v>15.766975969484321</v>
      </c>
      <c r="D3" s="6">
        <f t="shared" ca="1" si="0"/>
        <v>0.46020139311299335</v>
      </c>
      <c r="E3" s="6" t="str">
        <f ca="1">LOOKUP(RAND(),{0,0.4,0.7,0.9},{"DEPOSIT","WITHDRAWAL","INQUIRY","LOAN"})</f>
        <v>WITHDRAWAL</v>
      </c>
      <c r="F3" s="6" t="str">
        <f t="shared" ref="F3:F34" ca="1" si="11">IF(C3&gt;MAX(H2,I2,J2,K2),"t1",IF(MIN(H2,I2,J2,K2)=H2,"t1",(IF(MIN(H2,I2,J2,K2)=I2,"t2",IF(MIN(H2,I2,J2,K2)=J2,"t3","t4")))))</f>
        <v>t1</v>
      </c>
      <c r="G3" s="6">
        <f t="shared" ca="1" si="1"/>
        <v>4.6565464451706955</v>
      </c>
      <c r="H3" s="6">
        <f t="shared" ref="H3:H34" ca="1" si="12">IF(F3="t1",M3,H2)</f>
        <v>20.423522414655018</v>
      </c>
      <c r="I3" s="6">
        <f t="shared" ref="I3:I34" ca="1" si="13">IF(F3="t2",M3,I2)</f>
        <v>0</v>
      </c>
      <c r="J3" s="6">
        <f t="shared" ref="J3:J34" ca="1" si="14">IF(F3="t3",M3,J2)</f>
        <v>0</v>
      </c>
      <c r="K3" s="9">
        <f t="shared" ref="K3:K34" ca="1" si="15">IF(F3="t4",M3,K2)</f>
        <v>0</v>
      </c>
      <c r="L3" s="9">
        <f t="shared" ref="L3:L34" ca="1" si="16">IF(N3=0,C3,MIN(H2,I2,J2,K2))</f>
        <v>15.766975969484321</v>
      </c>
      <c r="M3" s="6">
        <f t="shared" ca="1" si="2"/>
        <v>20.423522414655018</v>
      </c>
      <c r="N3" s="6">
        <f t="shared" ca="1" si="3"/>
        <v>0</v>
      </c>
      <c r="O3" s="6">
        <f t="shared" ca="1" si="4"/>
        <v>0</v>
      </c>
      <c r="P3" s="6">
        <f ca="1">COUNTIFS($C2:C$2,"&lt;="&amp;C3,$M2:M$2,"&gt;"&amp;C3)</f>
        <v>0</v>
      </c>
      <c r="Q3" s="9">
        <f ca="1">MAX(0,C3-H3)</f>
        <v>0</v>
      </c>
      <c r="R3" s="9">
        <f t="shared" ca="1" si="6"/>
        <v>15.766975969484321</v>
      </c>
      <c r="S3" s="9">
        <f t="shared" ca="1" si="7"/>
        <v>15.766975969484321</v>
      </c>
      <c r="T3" s="9">
        <f ca="1">MAX(0,C3-K3)</f>
        <v>15.766975969484321</v>
      </c>
      <c r="U3" s="6">
        <f t="shared" ref="U3:U66" ca="1" si="17">IF(F3="t1",G3,0)</f>
        <v>4.6565464451706955</v>
      </c>
      <c r="V3" s="8">
        <f t="shared" ref="V3:V66" ca="1" si="18">IF(F3="t2",G3,0)</f>
        <v>0</v>
      </c>
      <c r="W3" s="8">
        <f t="shared" ref="W3:W66" ca="1" si="19">IF(F3="t3",G3,0)</f>
        <v>0</v>
      </c>
      <c r="X3" s="8">
        <f t="shared" ref="X3:X66" ca="1" si="20">IF(F3="t4",G3,0)</f>
        <v>0</v>
      </c>
      <c r="Y3" s="8"/>
      <c r="Z3" s="8"/>
      <c r="AA3" s="8"/>
      <c r="AB3" s="8"/>
      <c r="AC3" s="8"/>
      <c r="AD3" s="8"/>
      <c r="AE3" s="8"/>
      <c r="AF3" s="8"/>
    </row>
    <row r="4" spans="1:32" ht="15" x14ac:dyDescent="0.3">
      <c r="A4" s="6">
        <v>3</v>
      </c>
      <c r="B4" s="6">
        <f t="shared" ca="1" si="9"/>
        <v>4.2642728736137556</v>
      </c>
      <c r="C4" s="9">
        <f t="shared" ca="1" si="10"/>
        <v>20.031248843098076</v>
      </c>
      <c r="D4" s="6">
        <f t="shared" ca="1" si="0"/>
        <v>0.94534602515574362</v>
      </c>
      <c r="E4" s="6" t="str">
        <f ca="1">LOOKUP(RAND(),{0,0.4,0.7,0.9},{"DEPOSIT","WITHDRAWAL","INQUIRY","LOAN"})</f>
        <v>DEPOSIT</v>
      </c>
      <c r="F4" s="6" t="str">
        <f t="shared" ca="1" si="11"/>
        <v>t2</v>
      </c>
      <c r="G4" s="6">
        <f t="shared" ca="1" si="1"/>
        <v>1</v>
      </c>
      <c r="H4" s="6">
        <f t="shared" ca="1" si="12"/>
        <v>20.423522414655018</v>
      </c>
      <c r="I4" s="6">
        <f t="shared" ca="1" si="13"/>
        <v>21.031248843098076</v>
      </c>
      <c r="J4" s="6">
        <f t="shared" ca="1" si="14"/>
        <v>0</v>
      </c>
      <c r="K4" s="9">
        <f t="shared" ca="1" si="15"/>
        <v>0</v>
      </c>
      <c r="L4" s="9">
        <f t="shared" ca="1" si="16"/>
        <v>20.031248843098076</v>
      </c>
      <c r="M4" s="6">
        <f t="shared" ca="1" si="2"/>
        <v>21.031248843098076</v>
      </c>
      <c r="N4" s="6">
        <f t="shared" ca="1" si="3"/>
        <v>0</v>
      </c>
      <c r="O4" s="6">
        <f t="shared" ca="1" si="4"/>
        <v>0</v>
      </c>
      <c r="P4" s="6">
        <f ca="1">COUNTIFS($C$2:C3,"&lt;="&amp;C4,$M$2:M3,"&gt;"&amp;C4)</f>
        <v>1</v>
      </c>
      <c r="Q4" s="9">
        <f t="shared" ca="1" si="5"/>
        <v>0</v>
      </c>
      <c r="R4" s="9">
        <f t="shared" ca="1" si="6"/>
        <v>0</v>
      </c>
      <c r="S4" s="9">
        <f t="shared" ca="1" si="7"/>
        <v>20.031248843098076</v>
      </c>
      <c r="T4" s="6">
        <f t="shared" ca="1" si="8"/>
        <v>20.031248843098076</v>
      </c>
      <c r="U4" s="6">
        <f t="shared" ca="1" si="17"/>
        <v>0</v>
      </c>
      <c r="V4" s="8">
        <f t="shared" ca="1" si="18"/>
        <v>1</v>
      </c>
      <c r="W4" s="8">
        <f t="shared" ca="1" si="19"/>
        <v>0</v>
      </c>
      <c r="X4" s="8">
        <f t="shared" ca="1" si="20"/>
        <v>0</v>
      </c>
      <c r="Y4" s="8"/>
      <c r="Z4" s="8"/>
      <c r="AA4" s="8"/>
      <c r="AB4" s="8"/>
      <c r="AC4" s="8"/>
      <c r="AD4" s="8"/>
      <c r="AE4" s="8"/>
      <c r="AF4" s="8"/>
    </row>
    <row r="5" spans="1:32" ht="15" x14ac:dyDescent="0.3">
      <c r="A5" s="6">
        <v>4</v>
      </c>
      <c r="B5" s="6">
        <f t="shared" ca="1" si="9"/>
        <v>2.0898475562731131</v>
      </c>
      <c r="C5" s="9">
        <f t="shared" ca="1" si="10"/>
        <v>22.12109639937119</v>
      </c>
      <c r="D5" s="6">
        <f t="shared" ca="1" si="0"/>
        <v>4.5936922081985188E-2</v>
      </c>
      <c r="E5" s="6" t="str">
        <f ca="1">LOOKUP(RAND(),{0,0.4,0.7,0.9},{"DEPOSIT","WITHDRAWAL","INQUIRY","LOAN"})</f>
        <v>WITHDRAWAL</v>
      </c>
      <c r="F5" s="6" t="str">
        <f t="shared" ca="1" si="11"/>
        <v>t1</v>
      </c>
      <c r="G5" s="6">
        <f t="shared" ca="1" si="1"/>
        <v>18.482916495698582</v>
      </c>
      <c r="H5" s="6">
        <f t="shared" ca="1" si="12"/>
        <v>40.604012895069772</v>
      </c>
      <c r="I5" s="6">
        <f t="shared" ca="1" si="13"/>
        <v>21.031248843098076</v>
      </c>
      <c r="J5" s="6">
        <f t="shared" ca="1" si="14"/>
        <v>0</v>
      </c>
      <c r="K5" s="9">
        <f t="shared" ca="1" si="15"/>
        <v>0</v>
      </c>
      <c r="L5" s="9">
        <f t="shared" ca="1" si="16"/>
        <v>22.12109639937119</v>
      </c>
      <c r="M5" s="6">
        <f t="shared" ca="1" si="2"/>
        <v>40.604012895069772</v>
      </c>
      <c r="N5" s="6">
        <f t="shared" ca="1" si="3"/>
        <v>0</v>
      </c>
      <c r="O5" s="6">
        <f t="shared" ca="1" si="4"/>
        <v>0</v>
      </c>
      <c r="P5" s="6">
        <f ca="1">COUNTIFS($C$2:C4,"&lt;="&amp;C5,$M$2:M4,"&gt;"&amp;C5)</f>
        <v>0</v>
      </c>
      <c r="Q5" s="9">
        <f t="shared" ca="1" si="5"/>
        <v>0</v>
      </c>
      <c r="R5" s="9">
        <f t="shared" ca="1" si="6"/>
        <v>1.0898475562731136</v>
      </c>
      <c r="S5" s="9">
        <f t="shared" ca="1" si="7"/>
        <v>22.12109639937119</v>
      </c>
      <c r="T5" s="6">
        <f t="shared" ca="1" si="8"/>
        <v>22.12109639937119</v>
      </c>
      <c r="U5" s="6">
        <f t="shared" ca="1" si="17"/>
        <v>18.482916495698582</v>
      </c>
      <c r="V5" s="8">
        <f t="shared" ca="1" si="18"/>
        <v>0</v>
      </c>
      <c r="W5" s="8">
        <f t="shared" ca="1" si="19"/>
        <v>0</v>
      </c>
      <c r="X5" s="8">
        <f t="shared" ca="1" si="20"/>
        <v>0</v>
      </c>
      <c r="Y5" s="8"/>
      <c r="Z5" s="8"/>
      <c r="AA5" s="8"/>
      <c r="AB5" s="8"/>
      <c r="AC5" s="8"/>
      <c r="AD5" s="8"/>
      <c r="AE5" s="8"/>
      <c r="AF5" s="8"/>
    </row>
    <row r="6" spans="1:32" ht="15" x14ac:dyDescent="0.3">
      <c r="A6" s="6">
        <v>5</v>
      </c>
      <c r="B6" s="6">
        <f t="shared" ca="1" si="9"/>
        <v>3.2305747478107891</v>
      </c>
      <c r="C6" s="9">
        <f t="shared" ca="1" si="10"/>
        <v>25.351671147181978</v>
      </c>
      <c r="D6" s="6">
        <f t="shared" ca="1" si="0"/>
        <v>0.59565944638224377</v>
      </c>
      <c r="E6" s="6" t="str">
        <f ca="1">LOOKUP(RAND(),{0,0.4,0.7,0.9},{"DEPOSIT","WITHDRAWAL","INQUIRY","LOAN"})</f>
        <v>DEPOSIT</v>
      </c>
      <c r="F6" s="6" t="str">
        <f t="shared" ca="1" si="11"/>
        <v>t3</v>
      </c>
      <c r="G6" s="6">
        <f t="shared" ca="1" si="1"/>
        <v>2.5904308695737051</v>
      </c>
      <c r="H6" s="6">
        <f t="shared" ca="1" si="12"/>
        <v>40.604012895069772</v>
      </c>
      <c r="I6" s="6">
        <f t="shared" ca="1" si="13"/>
        <v>21.031248843098076</v>
      </c>
      <c r="J6" s="6">
        <f t="shared" ca="1" si="14"/>
        <v>27.942102016755683</v>
      </c>
      <c r="K6" s="9">
        <f t="shared" ca="1" si="15"/>
        <v>0</v>
      </c>
      <c r="L6" s="9">
        <f t="shared" ca="1" si="16"/>
        <v>25.351671147181978</v>
      </c>
      <c r="M6" s="6">
        <f t="shared" ca="1" si="2"/>
        <v>27.942102016755683</v>
      </c>
      <c r="N6" s="6">
        <f t="shared" ca="1" si="3"/>
        <v>0</v>
      </c>
      <c r="O6" s="6">
        <f t="shared" ca="1" si="4"/>
        <v>0</v>
      </c>
      <c r="P6" s="6">
        <f ca="1">COUNTIFS($C$2:C5,"&lt;="&amp;C6,$M$2:M5,"&gt;"&amp;C6)</f>
        <v>1</v>
      </c>
      <c r="Q6" s="9">
        <f t="shared" ca="1" si="5"/>
        <v>0</v>
      </c>
      <c r="R6" s="9">
        <f t="shared" ca="1" si="6"/>
        <v>4.3204223040839018</v>
      </c>
      <c r="S6" s="9">
        <f t="shared" ca="1" si="7"/>
        <v>0</v>
      </c>
      <c r="T6" s="6">
        <f t="shared" ca="1" si="8"/>
        <v>25.351671147181978</v>
      </c>
      <c r="U6" s="6">
        <f t="shared" ca="1" si="17"/>
        <v>0</v>
      </c>
      <c r="V6" s="8">
        <f t="shared" ca="1" si="18"/>
        <v>0</v>
      </c>
      <c r="W6" s="8">
        <f t="shared" ca="1" si="19"/>
        <v>2.5904308695737051</v>
      </c>
      <c r="X6" s="8">
        <f t="shared" ca="1" si="20"/>
        <v>0</v>
      </c>
      <c r="Y6" s="8"/>
      <c r="Z6" s="8"/>
      <c r="AA6" s="8"/>
      <c r="AB6" s="8"/>
      <c r="AC6" s="8"/>
      <c r="AD6" s="8"/>
      <c r="AE6" s="8"/>
      <c r="AF6" s="8"/>
    </row>
    <row r="7" spans="1:32" ht="15" x14ac:dyDescent="0.3">
      <c r="A7" s="6">
        <v>6</v>
      </c>
      <c r="B7" s="6">
        <f t="shared" ca="1" si="9"/>
        <v>1.7439058561084593</v>
      </c>
      <c r="C7" s="9">
        <f t="shared" ca="1" si="10"/>
        <v>27.095577003290437</v>
      </c>
      <c r="D7" s="6">
        <f t="shared" ca="1" si="0"/>
        <v>0.8882666705244131</v>
      </c>
      <c r="E7" s="6" t="str">
        <f ca="1">LOOKUP(RAND(),{0,0.4,0.7,0.9},{"DEPOSIT","WITHDRAWAL","INQUIRY","LOAN"})</f>
        <v>LOAN</v>
      </c>
      <c r="F7" s="6" t="str">
        <f t="shared" ca="1" si="11"/>
        <v>t4</v>
      </c>
      <c r="G7" s="6">
        <f t="shared" ca="1" si="1"/>
        <v>1.4217993171332641</v>
      </c>
      <c r="H7" s="6">
        <f t="shared" ca="1" si="12"/>
        <v>40.604012895069772</v>
      </c>
      <c r="I7" s="6">
        <f t="shared" ca="1" si="13"/>
        <v>21.031248843098076</v>
      </c>
      <c r="J7" s="6">
        <f t="shared" ca="1" si="14"/>
        <v>27.942102016755683</v>
      </c>
      <c r="K7" s="9">
        <f t="shared" ca="1" si="15"/>
        <v>28.517376320423701</v>
      </c>
      <c r="L7" s="9">
        <f t="shared" ca="1" si="16"/>
        <v>27.095577003290437</v>
      </c>
      <c r="M7" s="6">
        <f t="shared" ca="1" si="2"/>
        <v>28.517376320423701</v>
      </c>
      <c r="N7" s="6">
        <f t="shared" ca="1" si="3"/>
        <v>0</v>
      </c>
      <c r="O7" s="6">
        <f t="shared" ca="1" si="4"/>
        <v>0</v>
      </c>
      <c r="P7" s="6">
        <f ca="1">COUNTIFS($C$2:C6,"&lt;="&amp;C7,$M$2:M6,"&gt;"&amp;C7)</f>
        <v>2</v>
      </c>
      <c r="Q7" s="9">
        <f t="shared" ca="1" si="5"/>
        <v>0</v>
      </c>
      <c r="R7" s="9">
        <f t="shared" ca="1" si="6"/>
        <v>6.0643281601923604</v>
      </c>
      <c r="S7" s="9">
        <f t="shared" ca="1" si="7"/>
        <v>0</v>
      </c>
      <c r="T7" s="6">
        <f t="shared" ca="1" si="8"/>
        <v>0</v>
      </c>
      <c r="U7" s="6">
        <f t="shared" ca="1" si="17"/>
        <v>0</v>
      </c>
      <c r="V7" s="8">
        <f t="shared" ca="1" si="18"/>
        <v>0</v>
      </c>
      <c r="W7" s="8">
        <f t="shared" ca="1" si="19"/>
        <v>0</v>
      </c>
      <c r="X7" s="8">
        <f t="shared" ca="1" si="20"/>
        <v>1.4217993171332641</v>
      </c>
      <c r="Y7" s="8"/>
      <c r="Z7" s="8"/>
      <c r="AA7" s="8"/>
      <c r="AB7" s="8"/>
      <c r="AC7" s="8"/>
      <c r="AD7" s="8"/>
      <c r="AE7" s="8"/>
      <c r="AF7" s="8"/>
    </row>
    <row r="8" spans="1:32" ht="15" x14ac:dyDescent="0.3">
      <c r="A8" s="6">
        <v>7</v>
      </c>
      <c r="B8" s="6">
        <f t="shared" ca="1" si="9"/>
        <v>0.41479502045771205</v>
      </c>
      <c r="C8" s="9">
        <f t="shared" ca="1" si="10"/>
        <v>27.51037202374815</v>
      </c>
      <c r="D8" s="6">
        <f t="shared" ca="1" si="0"/>
        <v>0.21904324879020154</v>
      </c>
      <c r="E8" s="6" t="str">
        <f ca="1">LOOKUP(RAND(),{0,0.4,0.7,0.9},{"DEPOSIT","WITHDRAWAL","INQUIRY","LOAN"})</f>
        <v>LOAN</v>
      </c>
      <c r="F8" s="6" t="str">
        <f t="shared" ca="1" si="11"/>
        <v>t2</v>
      </c>
      <c r="G8" s="6">
        <f t="shared" ca="1" si="1"/>
        <v>18.221833027230815</v>
      </c>
      <c r="H8" s="6">
        <f t="shared" ca="1" si="12"/>
        <v>40.604012895069772</v>
      </c>
      <c r="I8" s="6">
        <f t="shared" ca="1" si="13"/>
        <v>45.732205050978962</v>
      </c>
      <c r="J8" s="6">
        <f t="shared" ca="1" si="14"/>
        <v>27.942102016755683</v>
      </c>
      <c r="K8" s="9">
        <f t="shared" ca="1" si="15"/>
        <v>28.517376320423701</v>
      </c>
      <c r="L8" s="9">
        <f t="shared" ca="1" si="16"/>
        <v>27.51037202374815</v>
      </c>
      <c r="M8" s="6">
        <f t="shared" ca="1" si="2"/>
        <v>45.732205050978962</v>
      </c>
      <c r="N8" s="6">
        <f t="shared" ca="1" si="3"/>
        <v>0</v>
      </c>
      <c r="O8" s="6">
        <f t="shared" ca="1" si="4"/>
        <v>0</v>
      </c>
      <c r="P8" s="6">
        <f ca="1">COUNTIFS($C$2:C7,"&lt;="&amp;C8,$M$2:M7,"&gt;"&amp;C8)</f>
        <v>3</v>
      </c>
      <c r="Q8" s="9">
        <f t="shared" ca="1" si="5"/>
        <v>0</v>
      </c>
      <c r="R8" s="9">
        <f t="shared" ca="1" si="6"/>
        <v>0</v>
      </c>
      <c r="S8" s="9">
        <f t="shared" ca="1" si="7"/>
        <v>0</v>
      </c>
      <c r="T8" s="6">
        <f t="shared" ca="1" si="8"/>
        <v>0</v>
      </c>
      <c r="U8" s="6">
        <f t="shared" ca="1" si="17"/>
        <v>0</v>
      </c>
      <c r="V8" s="8">
        <f t="shared" ca="1" si="18"/>
        <v>18.221833027230815</v>
      </c>
      <c r="W8" s="8">
        <f t="shared" ca="1" si="19"/>
        <v>0</v>
      </c>
      <c r="X8" s="8">
        <f t="shared" ca="1" si="20"/>
        <v>0</v>
      </c>
      <c r="Y8" s="8"/>
      <c r="Z8" s="8"/>
      <c r="AA8" s="8"/>
      <c r="AB8" s="8"/>
      <c r="AC8" s="8"/>
      <c r="AD8" s="8"/>
      <c r="AE8" s="8"/>
      <c r="AF8" s="8"/>
    </row>
    <row r="9" spans="1:32" ht="15" x14ac:dyDescent="0.3">
      <c r="A9" s="6">
        <v>8</v>
      </c>
      <c r="B9" s="6">
        <f t="shared" ca="1" si="9"/>
        <v>1.3760999692493396</v>
      </c>
      <c r="C9" s="9">
        <f t="shared" ca="1" si="10"/>
        <v>28.886471992997489</v>
      </c>
      <c r="D9" s="6">
        <f t="shared" ca="1" si="0"/>
        <v>0.81005369079788014</v>
      </c>
      <c r="E9" s="6" t="str">
        <f ca="1">LOOKUP(RAND(),{0,0.4,0.7,0.9},{"DEPOSIT","WITHDRAWAL","INQUIRY","LOAN"})</f>
        <v>DEPOSIT</v>
      </c>
      <c r="F9" s="6" t="str">
        <f t="shared" ca="1" si="11"/>
        <v>t3</v>
      </c>
      <c r="G9" s="6">
        <f t="shared" ca="1" si="1"/>
        <v>1.0532737428837369</v>
      </c>
      <c r="H9" s="6">
        <f t="shared" ca="1" si="12"/>
        <v>40.604012895069772</v>
      </c>
      <c r="I9" s="6">
        <f t="shared" ca="1" si="13"/>
        <v>45.732205050978962</v>
      </c>
      <c r="J9" s="6">
        <f t="shared" ca="1" si="14"/>
        <v>29.939745735881225</v>
      </c>
      <c r="K9" s="9">
        <f t="shared" ca="1" si="15"/>
        <v>28.517376320423701</v>
      </c>
      <c r="L9" s="9">
        <f t="shared" ca="1" si="16"/>
        <v>28.886471992997489</v>
      </c>
      <c r="M9" s="6">
        <f t="shared" ca="1" si="2"/>
        <v>29.939745735881225</v>
      </c>
      <c r="N9" s="6">
        <f t="shared" ca="1" si="3"/>
        <v>0</v>
      </c>
      <c r="O9" s="6">
        <f t="shared" ca="1" si="4"/>
        <v>0</v>
      </c>
      <c r="P9" s="6">
        <f ca="1">COUNTIFS($C$2:C8,"&lt;="&amp;C9,$M$2:M8,"&gt;"&amp;C9)</f>
        <v>2</v>
      </c>
      <c r="Q9" s="9">
        <f t="shared" ca="1" si="5"/>
        <v>0</v>
      </c>
      <c r="R9" s="9">
        <f t="shared" ca="1" si="6"/>
        <v>0</v>
      </c>
      <c r="S9" s="9">
        <f t="shared" ca="1" si="7"/>
        <v>0</v>
      </c>
      <c r="T9" s="6">
        <f t="shared" ca="1" si="8"/>
        <v>0.36909567257378839</v>
      </c>
      <c r="U9" s="6">
        <f t="shared" ca="1" si="17"/>
        <v>0</v>
      </c>
      <c r="V9" s="8">
        <f t="shared" ca="1" si="18"/>
        <v>0</v>
      </c>
      <c r="W9" s="8">
        <f t="shared" ca="1" si="19"/>
        <v>1.0532737428837369</v>
      </c>
      <c r="X9" s="8">
        <f t="shared" ca="1" si="20"/>
        <v>0</v>
      </c>
      <c r="Y9" s="8"/>
      <c r="Z9" s="8"/>
      <c r="AA9" s="8"/>
      <c r="AB9" s="8"/>
      <c r="AC9" s="8"/>
      <c r="AD9" s="8"/>
      <c r="AE9" s="8"/>
      <c r="AF9" s="8"/>
    </row>
    <row r="10" spans="1:32" ht="15" x14ac:dyDescent="0.3">
      <c r="A10" s="6">
        <v>9</v>
      </c>
      <c r="B10" s="6">
        <f t="shared" ca="1" si="9"/>
        <v>0.35793056069046481</v>
      </c>
      <c r="C10" s="9">
        <f t="shared" ca="1" si="10"/>
        <v>29.244402553687955</v>
      </c>
      <c r="D10" s="6">
        <f t="shared" ca="1" si="0"/>
        <v>0.51034722918706177</v>
      </c>
      <c r="E10" s="6" t="str">
        <f ca="1">LOOKUP(RAND(),{0,0.4,0.7,0.9},{"DEPOSIT","WITHDRAWAL","INQUIRY","LOAN"})</f>
        <v>DEPOSIT</v>
      </c>
      <c r="F10" s="6" t="str">
        <f t="shared" ca="1" si="11"/>
        <v>t4</v>
      </c>
      <c r="G10" s="6">
        <f t="shared" ca="1" si="1"/>
        <v>3.363319716939821</v>
      </c>
      <c r="H10" s="6">
        <f t="shared" ca="1" si="12"/>
        <v>40.604012895069772</v>
      </c>
      <c r="I10" s="6">
        <f t="shared" ca="1" si="13"/>
        <v>45.732205050978962</v>
      </c>
      <c r="J10" s="6">
        <f t="shared" ca="1" si="14"/>
        <v>29.939745735881225</v>
      </c>
      <c r="K10" s="9">
        <f t="shared" ca="1" si="15"/>
        <v>31.880696037363521</v>
      </c>
      <c r="L10" s="9">
        <f t="shared" ca="1" si="16"/>
        <v>28.517376320423701</v>
      </c>
      <c r="M10" s="6">
        <f t="shared" ca="1" si="2"/>
        <v>31.880696037363521</v>
      </c>
      <c r="N10" s="6">
        <f t="shared" ca="1" si="3"/>
        <v>0.69534318219326963</v>
      </c>
      <c r="O10" s="6">
        <f t="shared" ca="1" si="4"/>
        <v>1</v>
      </c>
      <c r="P10" s="6">
        <f ca="1">COUNTIFS($C$2:C9,"&lt;="&amp;C10,$M$2:M9,"&gt;"&amp;C10)</f>
        <v>3</v>
      </c>
      <c r="Q10" s="9">
        <f t="shared" ca="1" si="5"/>
        <v>0</v>
      </c>
      <c r="R10" s="9">
        <f t="shared" ca="1" si="6"/>
        <v>0</v>
      </c>
      <c r="S10" s="9">
        <f t="shared" ca="1" si="7"/>
        <v>0</v>
      </c>
      <c r="T10" s="6">
        <f t="shared" ca="1" si="8"/>
        <v>0</v>
      </c>
      <c r="U10" s="6">
        <f t="shared" ca="1" si="17"/>
        <v>0</v>
      </c>
      <c r="V10" s="8">
        <f t="shared" ca="1" si="18"/>
        <v>0</v>
      </c>
      <c r="W10" s="8">
        <f t="shared" ca="1" si="19"/>
        <v>0</v>
      </c>
      <c r="X10" s="8">
        <f t="shared" ca="1" si="20"/>
        <v>3.363319716939821</v>
      </c>
      <c r="Y10" s="8"/>
      <c r="Z10" s="8"/>
      <c r="AA10" s="8"/>
      <c r="AB10" s="8"/>
      <c r="AC10" s="8"/>
      <c r="AD10" s="8"/>
      <c r="AE10" s="8"/>
      <c r="AF10" s="8"/>
    </row>
    <row r="11" spans="1:32" ht="15" x14ac:dyDescent="0.3">
      <c r="A11" s="6">
        <v>10</v>
      </c>
      <c r="B11" s="6">
        <f t="shared" ca="1" si="9"/>
        <v>13.682153266502784</v>
      </c>
      <c r="C11" s="9">
        <f t="shared" ca="1" si="10"/>
        <v>42.926555820190742</v>
      </c>
      <c r="D11" s="6">
        <f t="shared" ca="1" si="0"/>
        <v>0.48736903261365561</v>
      </c>
      <c r="E11" s="6" t="str">
        <f ca="1">LOOKUP(RAND(),{0,0.4,0.7,0.9},{"DEPOSIT","WITHDRAWAL","INQUIRY","LOAN"})</f>
        <v>WITHDRAWAL</v>
      </c>
      <c r="F11" s="6" t="str">
        <f t="shared" ca="1" si="11"/>
        <v>t3</v>
      </c>
      <c r="G11" s="6">
        <f t="shared" ca="1" si="1"/>
        <v>4.3124020541178254</v>
      </c>
      <c r="H11" s="6">
        <f t="shared" ca="1" si="12"/>
        <v>40.604012895069772</v>
      </c>
      <c r="I11" s="6">
        <f t="shared" ca="1" si="13"/>
        <v>45.732205050978962</v>
      </c>
      <c r="J11" s="6">
        <f t="shared" ca="1" si="14"/>
        <v>47.238957874308568</v>
      </c>
      <c r="K11" s="9">
        <f t="shared" ca="1" si="15"/>
        <v>31.880696037363521</v>
      </c>
      <c r="L11" s="9">
        <f t="shared" ca="1" si="16"/>
        <v>42.926555820190742</v>
      </c>
      <c r="M11" s="6">
        <f t="shared" ca="1" si="2"/>
        <v>47.238957874308568</v>
      </c>
      <c r="N11" s="6">
        <f t="shared" ca="1" si="3"/>
        <v>0</v>
      </c>
      <c r="O11" s="6">
        <f t="shared" ca="1" si="4"/>
        <v>0</v>
      </c>
      <c r="P11" s="6">
        <f ca="1">COUNTIFS($C$2:C10,"&lt;="&amp;C11,$M$2:M10,"&gt;"&amp;C11)</f>
        <v>1</v>
      </c>
      <c r="Q11" s="9">
        <f t="shared" ca="1" si="5"/>
        <v>2.3225429251209704</v>
      </c>
      <c r="R11" s="9">
        <f t="shared" ca="1" si="6"/>
        <v>0</v>
      </c>
      <c r="S11" s="9">
        <f t="shared" ca="1" si="7"/>
        <v>0</v>
      </c>
      <c r="T11" s="6">
        <f t="shared" ca="1" si="8"/>
        <v>11.045859782827222</v>
      </c>
      <c r="U11" s="6">
        <f t="shared" ca="1" si="17"/>
        <v>0</v>
      </c>
      <c r="V11" s="8">
        <f t="shared" ca="1" si="18"/>
        <v>0</v>
      </c>
      <c r="W11" s="8">
        <f t="shared" ca="1" si="19"/>
        <v>4.3124020541178254</v>
      </c>
      <c r="X11" s="8">
        <f t="shared" ca="1" si="20"/>
        <v>0</v>
      </c>
      <c r="Y11" s="8"/>
      <c r="Z11" s="8"/>
      <c r="AA11" s="8"/>
      <c r="AB11" s="8"/>
      <c r="AC11" s="8"/>
      <c r="AD11" s="8"/>
      <c r="AE11" s="8"/>
      <c r="AF11" s="8"/>
    </row>
    <row r="12" spans="1:32" ht="15" x14ac:dyDescent="0.3">
      <c r="A12" s="6">
        <v>11</v>
      </c>
      <c r="B12" s="6">
        <f t="shared" ca="1" si="9"/>
        <v>2.0002162946055382</v>
      </c>
      <c r="C12" s="9">
        <f t="shared" ca="1" si="10"/>
        <v>44.926772114796279</v>
      </c>
      <c r="D12" s="6">
        <f t="shared" ca="1" si="0"/>
        <v>0.43161836700663481</v>
      </c>
      <c r="E12" s="6" t="str">
        <f ca="1">LOOKUP(RAND(),{0,0.4,0.7,0.9},{"DEPOSIT","WITHDRAWAL","INQUIRY","LOAN"})</f>
        <v>DEPOSIT</v>
      </c>
      <c r="F12" s="6" t="str">
        <f t="shared" ca="1" si="11"/>
        <v>t4</v>
      </c>
      <c r="G12" s="6">
        <f t="shared" ca="1" si="1"/>
        <v>4.2010674544060302</v>
      </c>
      <c r="H12" s="6">
        <f t="shared" ca="1" si="12"/>
        <v>40.604012895069772</v>
      </c>
      <c r="I12" s="6">
        <f t="shared" ca="1" si="13"/>
        <v>45.732205050978962</v>
      </c>
      <c r="J12" s="6">
        <f t="shared" ca="1" si="14"/>
        <v>47.238957874308568</v>
      </c>
      <c r="K12" s="9">
        <f t="shared" ca="1" si="15"/>
        <v>49.127839569202308</v>
      </c>
      <c r="L12" s="9">
        <f t="shared" ca="1" si="16"/>
        <v>44.926772114796279</v>
      </c>
      <c r="M12" s="6">
        <f t="shared" ca="1" si="2"/>
        <v>49.127839569202308</v>
      </c>
      <c r="N12" s="6">
        <f t="shared" ca="1" si="3"/>
        <v>0</v>
      </c>
      <c r="O12" s="6">
        <f t="shared" ca="1" si="4"/>
        <v>0</v>
      </c>
      <c r="P12" s="6">
        <f ca="1">COUNTIFS($C$2:C11,"&lt;="&amp;C12,$M$2:M11,"&gt;"&amp;C12)</f>
        <v>2</v>
      </c>
      <c r="Q12" s="9">
        <f t="shared" ca="1" si="5"/>
        <v>4.3227592197265068</v>
      </c>
      <c r="R12" s="9">
        <f t="shared" ca="1" si="6"/>
        <v>0</v>
      </c>
      <c r="S12" s="9">
        <f t="shared" ca="1" si="7"/>
        <v>0</v>
      </c>
      <c r="T12" s="6">
        <f t="shared" ca="1" si="8"/>
        <v>0</v>
      </c>
      <c r="U12" s="6">
        <f t="shared" ca="1" si="17"/>
        <v>0</v>
      </c>
      <c r="V12" s="8">
        <f t="shared" ca="1" si="18"/>
        <v>0</v>
      </c>
      <c r="W12" s="8">
        <f t="shared" ca="1" si="19"/>
        <v>0</v>
      </c>
      <c r="X12" s="8">
        <f t="shared" ca="1" si="20"/>
        <v>4.2010674544060302</v>
      </c>
      <c r="Y12" s="8"/>
      <c r="Z12" s="8"/>
      <c r="AA12" s="8"/>
      <c r="AB12" s="8"/>
      <c r="AC12" s="8"/>
      <c r="AD12" s="8"/>
      <c r="AE12" s="8"/>
      <c r="AF12" s="8"/>
    </row>
    <row r="13" spans="1:32" ht="15" x14ac:dyDescent="0.3">
      <c r="A13" s="6">
        <v>12</v>
      </c>
      <c r="B13" s="6">
        <f t="shared" ca="1" si="9"/>
        <v>0.35095873269161426</v>
      </c>
      <c r="C13" s="9">
        <f t="shared" ca="1" si="10"/>
        <v>45.277730847487895</v>
      </c>
      <c r="D13" s="6">
        <f t="shared" ca="1" si="0"/>
        <v>0.69772002081521622</v>
      </c>
      <c r="E13" s="6" t="str">
        <f ca="1">LOOKUP(RAND(),{0,0.4,0.7,0.9},{"DEPOSIT","WITHDRAWAL","INQUIRY","LOAN"})</f>
        <v>WITHDRAWAL</v>
      </c>
      <c r="F13" s="6" t="str">
        <f t="shared" ca="1" si="11"/>
        <v>t1</v>
      </c>
      <c r="G13" s="6">
        <f t="shared" ca="1" si="1"/>
        <v>2.1596242379940556</v>
      </c>
      <c r="H13" s="6">
        <f t="shared" ca="1" si="12"/>
        <v>47.437355085481954</v>
      </c>
      <c r="I13" s="6">
        <f t="shared" ca="1" si="13"/>
        <v>45.732205050978962</v>
      </c>
      <c r="J13" s="6">
        <f t="shared" ca="1" si="14"/>
        <v>47.238957874308568</v>
      </c>
      <c r="K13" s="9">
        <f t="shared" ca="1" si="15"/>
        <v>49.127839569202308</v>
      </c>
      <c r="L13" s="9">
        <f t="shared" ca="1" si="16"/>
        <v>45.277730847487895</v>
      </c>
      <c r="M13" s="6">
        <f t="shared" ca="1" si="2"/>
        <v>47.437355085481954</v>
      </c>
      <c r="N13" s="6">
        <f t="shared" ca="1" si="3"/>
        <v>0</v>
      </c>
      <c r="O13" s="6">
        <f t="shared" ca="1" si="4"/>
        <v>0</v>
      </c>
      <c r="P13" s="6">
        <f ca="1">COUNTIFS($C$2:C12,"&lt;="&amp;C13,$M$2:M12,"&gt;"&amp;C13)</f>
        <v>3</v>
      </c>
      <c r="Q13" s="9">
        <f t="shared" ca="1" si="5"/>
        <v>0</v>
      </c>
      <c r="R13" s="9">
        <f t="shared" ca="1" si="6"/>
        <v>0</v>
      </c>
      <c r="S13" s="9">
        <f t="shared" ca="1" si="7"/>
        <v>0</v>
      </c>
      <c r="T13" s="6">
        <f t="shared" ca="1" si="8"/>
        <v>0</v>
      </c>
      <c r="U13" s="6">
        <f t="shared" ca="1" si="17"/>
        <v>2.1596242379940556</v>
      </c>
      <c r="V13" s="8">
        <f t="shared" ca="1" si="18"/>
        <v>0</v>
      </c>
      <c r="W13" s="8">
        <f t="shared" ca="1" si="19"/>
        <v>0</v>
      </c>
      <c r="X13" s="8">
        <f t="shared" ca="1" si="20"/>
        <v>0</v>
      </c>
      <c r="Y13" s="8"/>
      <c r="Z13" s="8"/>
      <c r="AA13" s="8"/>
      <c r="AB13" s="8"/>
      <c r="AC13" s="8"/>
      <c r="AD13" s="8"/>
      <c r="AE13" s="8"/>
      <c r="AF13" s="8"/>
    </row>
    <row r="14" spans="1:32" ht="15" x14ac:dyDescent="0.3">
      <c r="A14" s="6">
        <v>13</v>
      </c>
      <c r="B14" s="6">
        <f t="shared" ca="1" si="9"/>
        <v>3.4889196487346643</v>
      </c>
      <c r="C14" s="9">
        <f t="shared" ca="1" si="10"/>
        <v>48.76665049622256</v>
      </c>
      <c r="D14" s="6">
        <f t="shared" ca="1" si="0"/>
        <v>0.24642541749016211</v>
      </c>
      <c r="E14" s="6" t="str">
        <f ca="1">LOOKUP(RAND(),{0,0.4,0.7,0.9},{"DEPOSIT","WITHDRAWAL","INQUIRY","LOAN"})</f>
        <v>DEPOSIT</v>
      </c>
      <c r="F14" s="6" t="str">
        <f t="shared" ca="1" si="11"/>
        <v>t2</v>
      </c>
      <c r="G14" s="6">
        <f t="shared" ca="1" si="1"/>
        <v>7.0034794862226963</v>
      </c>
      <c r="H14" s="6">
        <f t="shared" ca="1" si="12"/>
        <v>47.437355085481954</v>
      </c>
      <c r="I14" s="6">
        <f t="shared" ca="1" si="13"/>
        <v>55.770129982445255</v>
      </c>
      <c r="J14" s="6">
        <f t="shared" ca="1" si="14"/>
        <v>47.238957874308568</v>
      </c>
      <c r="K14" s="9">
        <f t="shared" ca="1" si="15"/>
        <v>49.127839569202308</v>
      </c>
      <c r="L14" s="9">
        <f t="shared" ca="1" si="16"/>
        <v>48.76665049622256</v>
      </c>
      <c r="M14" s="6">
        <f t="shared" ca="1" si="2"/>
        <v>55.770129982445255</v>
      </c>
      <c r="N14" s="6">
        <f t="shared" ca="1" si="3"/>
        <v>0</v>
      </c>
      <c r="O14" s="6">
        <f t="shared" ca="1" si="4"/>
        <v>0</v>
      </c>
      <c r="P14" s="6">
        <f ca="1">COUNTIFS($C$2:C13,"&lt;="&amp;C14,$M$2:M13,"&gt;"&amp;C14)</f>
        <v>1</v>
      </c>
      <c r="Q14" s="9">
        <f t="shared" ca="1" si="5"/>
        <v>1.3292954107406061</v>
      </c>
      <c r="R14" s="9">
        <f t="shared" ca="1" si="6"/>
        <v>0</v>
      </c>
      <c r="S14" s="9">
        <f t="shared" ca="1" si="7"/>
        <v>1.5276926219139924</v>
      </c>
      <c r="T14" s="6">
        <f t="shared" ca="1" si="8"/>
        <v>0</v>
      </c>
      <c r="U14" s="6">
        <f t="shared" ca="1" si="17"/>
        <v>0</v>
      </c>
      <c r="V14" s="8">
        <f t="shared" ca="1" si="18"/>
        <v>7.0034794862226963</v>
      </c>
      <c r="W14" s="8">
        <f t="shared" ca="1" si="19"/>
        <v>0</v>
      </c>
      <c r="X14" s="8">
        <f t="shared" ca="1" si="20"/>
        <v>0</v>
      </c>
      <c r="Y14" s="8"/>
      <c r="Z14" s="8"/>
      <c r="AA14" s="8"/>
      <c r="AB14" s="8"/>
      <c r="AC14" s="8"/>
      <c r="AD14" s="8"/>
      <c r="AE14" s="8"/>
      <c r="AF14" s="8"/>
    </row>
    <row r="15" spans="1:32" ht="15" x14ac:dyDescent="0.3">
      <c r="A15" s="6">
        <v>14</v>
      </c>
      <c r="B15" s="6">
        <f t="shared" ca="1" si="9"/>
        <v>3.3600978562550581</v>
      </c>
      <c r="C15" s="9">
        <f t="shared" ca="1" si="10"/>
        <v>52.12674835247762</v>
      </c>
      <c r="D15" s="6">
        <f t="shared" ca="1" si="0"/>
        <v>0.72829930508684382</v>
      </c>
      <c r="E15" s="6" t="str">
        <f ca="1">LOOKUP(RAND(),{0,0.4,0.7,0.9},{"DEPOSIT","WITHDRAWAL","INQUIRY","LOAN"})</f>
        <v>DEPOSIT</v>
      </c>
      <c r="F15" s="6" t="str">
        <f t="shared" ca="1" si="11"/>
        <v>t3</v>
      </c>
      <c r="G15" s="6">
        <f t="shared" ca="1" si="1"/>
        <v>1.5852159095828231</v>
      </c>
      <c r="H15" s="6">
        <f t="shared" ca="1" si="12"/>
        <v>47.437355085481954</v>
      </c>
      <c r="I15" s="6">
        <f t="shared" ca="1" si="13"/>
        <v>55.770129982445255</v>
      </c>
      <c r="J15" s="6">
        <f t="shared" ca="1" si="14"/>
        <v>53.711964262060441</v>
      </c>
      <c r="K15" s="9">
        <f t="shared" ca="1" si="15"/>
        <v>49.127839569202308</v>
      </c>
      <c r="L15" s="9">
        <f t="shared" ca="1" si="16"/>
        <v>52.12674835247762</v>
      </c>
      <c r="M15" s="6">
        <f t="shared" ca="1" si="2"/>
        <v>53.711964262060441</v>
      </c>
      <c r="N15" s="6">
        <f t="shared" ca="1" si="3"/>
        <v>0</v>
      </c>
      <c r="O15" s="6">
        <f t="shared" ca="1" si="4"/>
        <v>0</v>
      </c>
      <c r="P15" s="6">
        <f ca="1">COUNTIFS($C$2:C14,"&lt;="&amp;C15,$M$2:M14,"&gt;"&amp;C15)</f>
        <v>1</v>
      </c>
      <c r="Q15" s="9">
        <f t="shared" ca="1" si="5"/>
        <v>4.6893932669956655</v>
      </c>
      <c r="R15" s="9">
        <f t="shared" ca="1" si="6"/>
        <v>0</v>
      </c>
      <c r="S15" s="9">
        <f t="shared" ca="1" si="7"/>
        <v>0</v>
      </c>
      <c r="T15" s="6">
        <f t="shared" ca="1" si="8"/>
        <v>2.9989087832753114</v>
      </c>
      <c r="U15" s="6">
        <f t="shared" ca="1" si="17"/>
        <v>0</v>
      </c>
      <c r="V15" s="8">
        <f t="shared" ca="1" si="18"/>
        <v>0</v>
      </c>
      <c r="W15" s="8">
        <f t="shared" ca="1" si="19"/>
        <v>1.5852159095828231</v>
      </c>
      <c r="X15" s="8">
        <f t="shared" ca="1" si="20"/>
        <v>0</v>
      </c>
      <c r="Y15" s="8"/>
      <c r="Z15" s="8"/>
      <c r="AA15" s="8"/>
      <c r="AB15" s="8"/>
      <c r="AC15" s="8"/>
      <c r="AD15" s="8"/>
      <c r="AE15" s="8"/>
      <c r="AF15" s="8"/>
    </row>
    <row r="16" spans="1:32" ht="15" x14ac:dyDescent="0.3">
      <c r="A16" s="6">
        <v>15</v>
      </c>
      <c r="B16" s="6">
        <f t="shared" ca="1" si="9"/>
        <v>2.9210580574875835</v>
      </c>
      <c r="C16" s="9">
        <f t="shared" ca="1" si="10"/>
        <v>55.047806409965204</v>
      </c>
      <c r="D16" s="6">
        <f t="shared" ca="1" si="0"/>
        <v>0.17456779383791288</v>
      </c>
      <c r="E16" s="6" t="str">
        <f ca="1">LOOKUP(RAND(),{0,0.4,0.7,0.9},{"DEPOSIT","WITHDRAWAL","INQUIRY","LOAN"})</f>
        <v>WITHDRAWAL</v>
      </c>
      <c r="F16" s="6" t="str">
        <f t="shared" ca="1" si="11"/>
        <v>t1</v>
      </c>
      <c r="G16" s="6">
        <f t="shared" ca="1" si="1"/>
        <v>10.472652656510522</v>
      </c>
      <c r="H16" s="6">
        <f t="shared" ca="1" si="12"/>
        <v>65.520459066475723</v>
      </c>
      <c r="I16" s="6">
        <f t="shared" ca="1" si="13"/>
        <v>55.770129982445255</v>
      </c>
      <c r="J16" s="6">
        <f t="shared" ca="1" si="14"/>
        <v>53.711964262060441</v>
      </c>
      <c r="K16" s="9">
        <f t="shared" ca="1" si="15"/>
        <v>49.127839569202308</v>
      </c>
      <c r="L16" s="9">
        <f t="shared" ca="1" si="16"/>
        <v>55.047806409965204</v>
      </c>
      <c r="M16" s="6">
        <f t="shared" ca="1" si="2"/>
        <v>65.520459066475723</v>
      </c>
      <c r="N16" s="6">
        <f t="shared" ca="1" si="3"/>
        <v>0</v>
      </c>
      <c r="O16" s="6">
        <f t="shared" ca="1" si="4"/>
        <v>0</v>
      </c>
      <c r="P16" s="6">
        <f ca="1">COUNTIFS($C$2:C15,"&lt;="&amp;C16,$M$2:M15,"&gt;"&amp;C16)</f>
        <v>1</v>
      </c>
      <c r="Q16" s="9">
        <f t="shared" ca="1" si="5"/>
        <v>0</v>
      </c>
      <c r="R16" s="9">
        <f t="shared" ca="1" si="6"/>
        <v>0</v>
      </c>
      <c r="S16" s="9">
        <f t="shared" ca="1" si="7"/>
        <v>1.3358421479047635</v>
      </c>
      <c r="T16" s="6">
        <f t="shared" ca="1" si="8"/>
        <v>5.9199668407628963</v>
      </c>
      <c r="U16" s="6">
        <f t="shared" ca="1" si="17"/>
        <v>10.472652656510522</v>
      </c>
      <c r="V16" s="8">
        <f t="shared" ca="1" si="18"/>
        <v>0</v>
      </c>
      <c r="W16" s="8">
        <f t="shared" ca="1" si="19"/>
        <v>0</v>
      </c>
      <c r="X16" s="8">
        <f t="shared" ca="1" si="20"/>
        <v>0</v>
      </c>
      <c r="Y16" s="8"/>
      <c r="Z16" s="8"/>
      <c r="AA16" s="8"/>
      <c r="AB16" s="8"/>
      <c r="AC16" s="8"/>
      <c r="AD16" s="8"/>
      <c r="AE16" s="8"/>
      <c r="AF16" s="8"/>
    </row>
    <row r="17" spans="1:32" ht="15" x14ac:dyDescent="0.3">
      <c r="A17" s="6">
        <v>16</v>
      </c>
      <c r="B17" s="6">
        <f t="shared" ca="1" si="9"/>
        <v>1.4887521599257996</v>
      </c>
      <c r="C17" s="9">
        <f t="shared" ca="1" si="10"/>
        <v>56.536558569891007</v>
      </c>
      <c r="D17" s="6">
        <f t="shared" ca="1" si="0"/>
        <v>0.47140193945879827</v>
      </c>
      <c r="E17" s="6" t="str">
        <f ca="1">LOOKUP(RAND(),{0,0.4,0.7,0.9},{"DEPOSIT","WITHDRAWAL","INQUIRY","LOAN"})</f>
        <v>INQUIRY</v>
      </c>
      <c r="F17" s="6" t="str">
        <f t="shared" ca="1" si="11"/>
        <v>t4</v>
      </c>
      <c r="G17" s="6">
        <f t="shared" ca="1" si="1"/>
        <v>3.0081766969428387</v>
      </c>
      <c r="H17" s="6">
        <f t="shared" ca="1" si="12"/>
        <v>65.520459066475723</v>
      </c>
      <c r="I17" s="6">
        <f t="shared" ca="1" si="13"/>
        <v>55.770129982445255</v>
      </c>
      <c r="J17" s="6">
        <f t="shared" ca="1" si="14"/>
        <v>53.711964262060441</v>
      </c>
      <c r="K17" s="9">
        <f t="shared" ca="1" si="15"/>
        <v>59.544735266833847</v>
      </c>
      <c r="L17" s="9">
        <f t="shared" ca="1" si="16"/>
        <v>56.536558569891007</v>
      </c>
      <c r="M17" s="6">
        <f t="shared" ca="1" si="2"/>
        <v>59.544735266833847</v>
      </c>
      <c r="N17" s="6">
        <f t="shared" ca="1" si="3"/>
        <v>0</v>
      </c>
      <c r="O17" s="6">
        <f t="shared" ca="1" si="4"/>
        <v>0</v>
      </c>
      <c r="P17" s="6">
        <f ca="1">COUNTIFS($C$2:C16,"&lt;="&amp;C17,$M$2:M16,"&gt;"&amp;C17)</f>
        <v>1</v>
      </c>
      <c r="Q17" s="9">
        <f t="shared" ca="1" si="5"/>
        <v>0</v>
      </c>
      <c r="R17" s="9">
        <f t="shared" ca="1" si="6"/>
        <v>0.76642858744575193</v>
      </c>
      <c r="S17" s="9">
        <f t="shared" ca="1" si="7"/>
        <v>2.8245943078305658</v>
      </c>
      <c r="T17" s="6">
        <f t="shared" ca="1" si="8"/>
        <v>0</v>
      </c>
      <c r="U17" s="6">
        <f t="shared" ca="1" si="17"/>
        <v>0</v>
      </c>
      <c r="V17" s="8">
        <f t="shared" ca="1" si="18"/>
        <v>0</v>
      </c>
      <c r="W17" s="8">
        <f t="shared" ca="1" si="19"/>
        <v>0</v>
      </c>
      <c r="X17" s="8">
        <f t="shared" ca="1" si="20"/>
        <v>3.0081766969428387</v>
      </c>
      <c r="Y17" s="8"/>
      <c r="Z17" s="8"/>
      <c r="AA17" s="8"/>
      <c r="AB17" s="8"/>
      <c r="AC17" s="8"/>
      <c r="AD17" s="8"/>
      <c r="AE17" s="8"/>
      <c r="AF17" s="8"/>
    </row>
    <row r="18" spans="1:32" ht="15" x14ac:dyDescent="0.3">
      <c r="A18" s="6">
        <v>17</v>
      </c>
      <c r="B18" s="6">
        <f t="shared" ca="1" si="9"/>
        <v>1.5009241034856737</v>
      </c>
      <c r="C18" s="9">
        <f t="shared" ca="1" si="10"/>
        <v>58.03748267337668</v>
      </c>
      <c r="D18" s="6">
        <f t="shared" ca="1" si="0"/>
        <v>0.5382591482694814</v>
      </c>
      <c r="E18" s="6" t="str">
        <f ca="1">LOOKUP(RAND(),{0,0.4,0.7,0.9},{"DEPOSIT","WITHDRAWAL","INQUIRY","LOAN"})</f>
        <v>WITHDRAWAL</v>
      </c>
      <c r="F18" s="6" t="str">
        <f t="shared" ca="1" si="11"/>
        <v>t3</v>
      </c>
      <c r="G18" s="6">
        <f t="shared" ca="1" si="1"/>
        <v>3.7164908793699118</v>
      </c>
      <c r="H18" s="6">
        <f t="shared" ca="1" si="12"/>
        <v>65.520459066475723</v>
      </c>
      <c r="I18" s="6">
        <f t="shared" ca="1" si="13"/>
        <v>55.770129982445255</v>
      </c>
      <c r="J18" s="6">
        <f t="shared" ca="1" si="14"/>
        <v>61.753973552746594</v>
      </c>
      <c r="K18" s="9">
        <f t="shared" ca="1" si="15"/>
        <v>59.544735266833847</v>
      </c>
      <c r="L18" s="9">
        <f t="shared" ca="1" si="16"/>
        <v>58.03748267337668</v>
      </c>
      <c r="M18" s="6">
        <f t="shared" ca="1" si="2"/>
        <v>61.753973552746594</v>
      </c>
      <c r="N18" s="6">
        <f t="shared" ca="1" si="3"/>
        <v>0</v>
      </c>
      <c r="O18" s="6">
        <f t="shared" ca="1" si="4"/>
        <v>0</v>
      </c>
      <c r="P18" s="6">
        <f ca="1">COUNTIFS($C$2:C17,"&lt;="&amp;C18,$M$2:M17,"&gt;"&amp;C18)</f>
        <v>2</v>
      </c>
      <c r="Q18" s="9">
        <f t="shared" ca="1" si="5"/>
        <v>0</v>
      </c>
      <c r="R18" s="9">
        <f t="shared" ca="1" si="6"/>
        <v>2.2673526909314248</v>
      </c>
      <c r="S18" s="9">
        <f t="shared" ca="1" si="7"/>
        <v>0</v>
      </c>
      <c r="T18" s="6">
        <f t="shared" ca="1" si="8"/>
        <v>0</v>
      </c>
      <c r="U18" s="6">
        <f t="shared" ca="1" si="17"/>
        <v>0</v>
      </c>
      <c r="V18" s="8">
        <f t="shared" ca="1" si="18"/>
        <v>0</v>
      </c>
      <c r="W18" s="8">
        <f t="shared" ca="1" si="19"/>
        <v>3.7164908793699118</v>
      </c>
      <c r="X18" s="8">
        <f t="shared" ca="1" si="20"/>
        <v>0</v>
      </c>
      <c r="Y18" s="8"/>
      <c r="Z18" s="8"/>
      <c r="AA18" s="8"/>
      <c r="AB18" s="8"/>
      <c r="AC18" s="8"/>
      <c r="AD18" s="8"/>
      <c r="AE18" s="8"/>
      <c r="AF18" s="8"/>
    </row>
    <row r="19" spans="1:32" ht="15" x14ac:dyDescent="0.3">
      <c r="A19" s="6">
        <v>18</v>
      </c>
      <c r="B19" s="6">
        <f t="shared" ca="1" si="9"/>
        <v>0.9709088725474333</v>
      </c>
      <c r="C19" s="9">
        <f t="shared" ca="1" si="10"/>
        <v>59.008391545924113</v>
      </c>
      <c r="D19" s="6">
        <f t="shared" ca="1" si="0"/>
        <v>0.67330261680507575</v>
      </c>
      <c r="E19" s="6" t="str">
        <f ca="1">LOOKUP(RAND(),{0,0.4,0.7,0.9},{"DEPOSIT","WITHDRAWAL","INQUIRY","LOAN"})</f>
        <v>INQUIRY</v>
      </c>
      <c r="F19" s="6" t="str">
        <f t="shared" ca="1" si="11"/>
        <v>t2</v>
      </c>
      <c r="G19" s="6">
        <f t="shared" ca="1" si="1"/>
        <v>1.5822415876075189</v>
      </c>
      <c r="H19" s="6">
        <f t="shared" ca="1" si="12"/>
        <v>65.520459066475723</v>
      </c>
      <c r="I19" s="6">
        <f t="shared" ca="1" si="13"/>
        <v>60.590633133531632</v>
      </c>
      <c r="J19" s="6">
        <f t="shared" ca="1" si="14"/>
        <v>61.753973552746594</v>
      </c>
      <c r="K19" s="9">
        <f t="shared" ca="1" si="15"/>
        <v>59.544735266833847</v>
      </c>
      <c r="L19" s="9">
        <f t="shared" ca="1" si="16"/>
        <v>59.008391545924113</v>
      </c>
      <c r="M19" s="6">
        <f t="shared" ca="1" si="2"/>
        <v>60.590633133531632</v>
      </c>
      <c r="N19" s="6">
        <f t="shared" ca="1" si="3"/>
        <v>0</v>
      </c>
      <c r="O19" s="6">
        <f t="shared" ca="1" si="4"/>
        <v>0</v>
      </c>
      <c r="P19" s="6">
        <f ca="1">COUNTIFS($C$2:C18,"&lt;="&amp;C19,$M$2:M18,"&gt;"&amp;C19)</f>
        <v>3</v>
      </c>
      <c r="Q19" s="9">
        <f t="shared" ca="1" si="5"/>
        <v>0</v>
      </c>
      <c r="R19" s="9">
        <f t="shared" ca="1" si="6"/>
        <v>0</v>
      </c>
      <c r="S19" s="9">
        <f t="shared" ca="1" si="7"/>
        <v>0</v>
      </c>
      <c r="T19" s="6">
        <f t="shared" ca="1" si="8"/>
        <v>0</v>
      </c>
      <c r="U19" s="6">
        <f t="shared" ca="1" si="17"/>
        <v>0</v>
      </c>
      <c r="V19" s="8">
        <f t="shared" ca="1" si="18"/>
        <v>1.5822415876075189</v>
      </c>
      <c r="W19" s="8">
        <f t="shared" ca="1" si="19"/>
        <v>0</v>
      </c>
      <c r="X19" s="8">
        <f t="shared" ca="1" si="20"/>
        <v>0</v>
      </c>
      <c r="Y19" s="8"/>
      <c r="Z19" s="8"/>
      <c r="AA19" s="8"/>
      <c r="AB19" s="8"/>
      <c r="AC19" s="8"/>
      <c r="AD19" s="8"/>
      <c r="AE19" s="8"/>
      <c r="AF19" s="8"/>
    </row>
    <row r="20" spans="1:32" ht="15" x14ac:dyDescent="0.3">
      <c r="A20" s="6">
        <v>19</v>
      </c>
      <c r="B20" s="6">
        <f t="shared" ca="1" si="9"/>
        <v>4.2105460068137752</v>
      </c>
      <c r="C20" s="9">
        <f t="shared" ca="1" si="10"/>
        <v>63.218937552737884</v>
      </c>
      <c r="D20" s="6">
        <f t="shared" ca="1" si="0"/>
        <v>0.75901484857310564</v>
      </c>
      <c r="E20" s="6" t="str">
        <f ca="1">LOOKUP(RAND(),{0,0.4,0.7,0.9},{"DEPOSIT","WITHDRAWAL","INQUIRY","LOAN"})</f>
        <v>DEPOSIT</v>
      </c>
      <c r="F20" s="6" t="str">
        <f t="shared" ca="1" si="11"/>
        <v>t4</v>
      </c>
      <c r="G20" s="6">
        <f t="shared" ca="1" si="1"/>
        <v>1.3786696922022081</v>
      </c>
      <c r="H20" s="6">
        <f t="shared" ca="1" si="12"/>
        <v>65.520459066475723</v>
      </c>
      <c r="I20" s="6">
        <f t="shared" ca="1" si="13"/>
        <v>60.590633133531632</v>
      </c>
      <c r="J20" s="6">
        <f t="shared" ca="1" si="14"/>
        <v>61.753973552746594</v>
      </c>
      <c r="K20" s="9">
        <f t="shared" ca="1" si="15"/>
        <v>64.597607244940093</v>
      </c>
      <c r="L20" s="9">
        <f t="shared" ca="1" si="16"/>
        <v>63.218937552737884</v>
      </c>
      <c r="M20" s="6">
        <f t="shared" ca="1" si="2"/>
        <v>64.597607244940093</v>
      </c>
      <c r="N20" s="6">
        <f t="shared" ca="1" si="3"/>
        <v>0</v>
      </c>
      <c r="O20" s="6">
        <f t="shared" ca="1" si="4"/>
        <v>0</v>
      </c>
      <c r="P20" s="6">
        <f ca="1">COUNTIFS($C$2:C19,"&lt;="&amp;C20,$M$2:M19,"&gt;"&amp;C20)</f>
        <v>1</v>
      </c>
      <c r="Q20" s="9">
        <f t="shared" ca="1" si="5"/>
        <v>0</v>
      </c>
      <c r="R20" s="9">
        <f t="shared" ca="1" si="6"/>
        <v>2.6283044192062519</v>
      </c>
      <c r="S20" s="9">
        <f t="shared" ca="1" si="7"/>
        <v>1.4649639999912907</v>
      </c>
      <c r="T20" s="6">
        <f t="shared" ca="1" si="8"/>
        <v>0</v>
      </c>
      <c r="U20" s="6">
        <f t="shared" ca="1" si="17"/>
        <v>0</v>
      </c>
      <c r="V20" s="8">
        <f t="shared" ca="1" si="18"/>
        <v>0</v>
      </c>
      <c r="W20" s="8">
        <f t="shared" ca="1" si="19"/>
        <v>0</v>
      </c>
      <c r="X20" s="8">
        <f t="shared" ca="1" si="20"/>
        <v>1.3786696922022081</v>
      </c>
      <c r="Y20" s="8"/>
      <c r="Z20" s="8"/>
      <c r="AA20" s="8"/>
      <c r="AB20" s="8"/>
      <c r="AC20" s="8"/>
      <c r="AD20" s="8"/>
      <c r="AE20" s="8"/>
      <c r="AF20" s="8"/>
    </row>
    <row r="21" spans="1:32" ht="15" x14ac:dyDescent="0.3">
      <c r="A21" s="6">
        <v>20</v>
      </c>
      <c r="B21" s="6">
        <f t="shared" ca="1" si="9"/>
        <v>1.4353275594404402</v>
      </c>
      <c r="C21" s="9">
        <f t="shared" ca="1" si="10"/>
        <v>64.654265112178322</v>
      </c>
      <c r="D21" s="6">
        <f t="shared" ca="1" si="0"/>
        <v>0.34855672095738577</v>
      </c>
      <c r="E21" s="6" t="str">
        <f ca="1">LOOKUP(RAND(),{0,0.4,0.7,0.9},{"DEPOSIT","WITHDRAWAL","INQUIRY","LOAN"})</f>
        <v>DEPOSIT</v>
      </c>
      <c r="F21" s="6" t="str">
        <f t="shared" ca="1" si="11"/>
        <v>t2</v>
      </c>
      <c r="G21" s="6">
        <f t="shared" ca="1" si="1"/>
        <v>5.2697715230755326</v>
      </c>
      <c r="H21" s="6">
        <f t="shared" ca="1" si="12"/>
        <v>65.520459066475723</v>
      </c>
      <c r="I21" s="6">
        <f t="shared" ca="1" si="13"/>
        <v>69.924036635253856</v>
      </c>
      <c r="J21" s="6">
        <f t="shared" ca="1" si="14"/>
        <v>61.753973552746594</v>
      </c>
      <c r="K21" s="9">
        <f t="shared" ca="1" si="15"/>
        <v>64.597607244940093</v>
      </c>
      <c r="L21" s="9">
        <f t="shared" ca="1" si="16"/>
        <v>64.654265112178322</v>
      </c>
      <c r="M21" s="6">
        <f t="shared" ca="1" si="2"/>
        <v>69.924036635253856</v>
      </c>
      <c r="N21" s="6">
        <f t="shared" ca="1" si="3"/>
        <v>0</v>
      </c>
      <c r="O21" s="6">
        <f t="shared" ca="1" si="4"/>
        <v>0</v>
      </c>
      <c r="P21" s="6">
        <f ca="1">COUNTIFS($C$2:C20,"&lt;="&amp;C21,$M$2:M20,"&gt;"&amp;C21)</f>
        <v>1</v>
      </c>
      <c r="Q21" s="9">
        <f t="shared" ca="1" si="5"/>
        <v>0</v>
      </c>
      <c r="R21" s="9">
        <f t="shared" ca="1" si="6"/>
        <v>0</v>
      </c>
      <c r="S21" s="9">
        <f t="shared" ca="1" si="7"/>
        <v>2.9002915594317287</v>
      </c>
      <c r="T21" s="6">
        <f t="shared" ca="1" si="8"/>
        <v>5.6657867238229187E-2</v>
      </c>
      <c r="U21" s="6">
        <f t="shared" ca="1" si="17"/>
        <v>0</v>
      </c>
      <c r="V21" s="8">
        <f t="shared" ca="1" si="18"/>
        <v>5.2697715230755326</v>
      </c>
      <c r="W21" s="8">
        <f t="shared" ca="1" si="19"/>
        <v>0</v>
      </c>
      <c r="X21" s="8">
        <f t="shared" ca="1" si="20"/>
        <v>0</v>
      </c>
      <c r="Y21" s="8"/>
      <c r="Z21" s="8"/>
      <c r="AA21" s="8"/>
      <c r="AB21" s="8"/>
      <c r="AC21" s="8"/>
      <c r="AD21" s="8"/>
      <c r="AE21" s="8"/>
      <c r="AF21" s="8"/>
    </row>
    <row r="22" spans="1:32" ht="15" x14ac:dyDescent="0.3">
      <c r="A22" s="6">
        <v>21</v>
      </c>
      <c r="B22" s="6">
        <f t="shared" ca="1" si="9"/>
        <v>1.7355678091351077</v>
      </c>
      <c r="C22" s="9">
        <f t="shared" ca="1" si="10"/>
        <v>66.389832921313428</v>
      </c>
      <c r="D22" s="6">
        <f t="shared" ca="1" si="0"/>
        <v>8.0208034248777538E-2</v>
      </c>
      <c r="E22" s="6" t="str">
        <f ca="1">LOOKUP(RAND(),{0,0.4,0.7,0.9},{"DEPOSIT","WITHDRAWAL","INQUIRY","LOAN"})</f>
        <v>INQUIRY</v>
      </c>
      <c r="F22" s="6" t="str">
        <f t="shared" ca="1" si="11"/>
        <v>t3</v>
      </c>
      <c r="G22" s="6">
        <f t="shared" ca="1" si="1"/>
        <v>10.09252636584624</v>
      </c>
      <c r="H22" s="6">
        <f t="shared" ca="1" si="12"/>
        <v>65.520459066475723</v>
      </c>
      <c r="I22" s="6">
        <f t="shared" ca="1" si="13"/>
        <v>69.924036635253856</v>
      </c>
      <c r="J22" s="6">
        <f t="shared" ca="1" si="14"/>
        <v>76.482359287159667</v>
      </c>
      <c r="K22" s="9">
        <f t="shared" ca="1" si="15"/>
        <v>64.597607244940093</v>
      </c>
      <c r="L22" s="9">
        <f t="shared" ca="1" si="16"/>
        <v>66.389832921313428</v>
      </c>
      <c r="M22" s="6">
        <f t="shared" ca="1" si="2"/>
        <v>76.482359287159667</v>
      </c>
      <c r="N22" s="6">
        <f t="shared" ca="1" si="3"/>
        <v>0</v>
      </c>
      <c r="O22" s="6">
        <f t="shared" ca="1" si="4"/>
        <v>0</v>
      </c>
      <c r="P22" s="6">
        <f ca="1">COUNTIFS($C$2:C21,"&lt;="&amp;C22,$M$2:M21,"&gt;"&amp;C22)</f>
        <v>1</v>
      </c>
      <c r="Q22" s="9">
        <f t="shared" ca="1" si="5"/>
        <v>0.86937385483770413</v>
      </c>
      <c r="R22" s="9">
        <f t="shared" ca="1" si="6"/>
        <v>0</v>
      </c>
      <c r="S22" s="9">
        <f t="shared" ca="1" si="7"/>
        <v>0</v>
      </c>
      <c r="T22" s="6">
        <f t="shared" ca="1" si="8"/>
        <v>1.7922256763733344</v>
      </c>
      <c r="U22" s="6">
        <f t="shared" ca="1" si="17"/>
        <v>0</v>
      </c>
      <c r="V22" s="8">
        <f t="shared" ca="1" si="18"/>
        <v>0</v>
      </c>
      <c r="W22" s="8">
        <f t="shared" ca="1" si="19"/>
        <v>10.09252636584624</v>
      </c>
      <c r="X22" s="8">
        <f t="shared" ca="1" si="20"/>
        <v>0</v>
      </c>
      <c r="Y22" s="8"/>
      <c r="Z22" s="8"/>
      <c r="AA22" s="8"/>
      <c r="AB22" s="8"/>
      <c r="AC22" s="8"/>
      <c r="AD22" s="8"/>
      <c r="AE22" s="8"/>
      <c r="AF22" s="8"/>
    </row>
    <row r="23" spans="1:32" ht="15" x14ac:dyDescent="0.3">
      <c r="A23" s="6">
        <v>22</v>
      </c>
      <c r="B23" s="6">
        <f t="shared" ca="1" si="9"/>
        <v>4.8145115097971036</v>
      </c>
      <c r="C23" s="9">
        <f t="shared" ca="1" si="10"/>
        <v>71.204344431110528</v>
      </c>
      <c r="D23" s="6">
        <f t="shared" ca="1" si="0"/>
        <v>0.97112271027408104</v>
      </c>
      <c r="E23" s="6" t="str">
        <f ca="1">LOOKUP(RAND(),{0,0.4,0.7,0.9},{"DEPOSIT","WITHDRAWAL","INQUIRY","LOAN"})</f>
        <v>WITHDRAWAL</v>
      </c>
      <c r="F23" s="6" t="str">
        <f t="shared" ca="1" si="11"/>
        <v>t4</v>
      </c>
      <c r="G23" s="6">
        <f t="shared" ca="1" si="1"/>
        <v>1</v>
      </c>
      <c r="H23" s="6">
        <f t="shared" ca="1" si="12"/>
        <v>65.520459066475723</v>
      </c>
      <c r="I23" s="6">
        <f t="shared" ca="1" si="13"/>
        <v>69.924036635253856</v>
      </c>
      <c r="J23" s="6">
        <f t="shared" ca="1" si="14"/>
        <v>76.482359287159667</v>
      </c>
      <c r="K23" s="9">
        <f t="shared" ca="1" si="15"/>
        <v>72.204344431110528</v>
      </c>
      <c r="L23" s="9">
        <f t="shared" ca="1" si="16"/>
        <v>71.204344431110528</v>
      </c>
      <c r="M23" s="6">
        <f t="shared" ca="1" si="2"/>
        <v>72.204344431110528</v>
      </c>
      <c r="N23" s="6">
        <f t="shared" ca="1" si="3"/>
        <v>0</v>
      </c>
      <c r="O23" s="6">
        <f t="shared" ca="1" si="4"/>
        <v>0</v>
      </c>
      <c r="P23" s="6">
        <f ca="1">COUNTIFS($C$2:C22,"&lt;="&amp;C23,$M$2:M22,"&gt;"&amp;C23)</f>
        <v>1</v>
      </c>
      <c r="Q23" s="9">
        <f t="shared" ca="1" si="5"/>
        <v>5.6838853646348042</v>
      </c>
      <c r="R23" s="9">
        <f t="shared" ca="1" si="6"/>
        <v>1.2803077958566718</v>
      </c>
      <c r="S23" s="9">
        <f t="shared" ca="1" si="7"/>
        <v>0</v>
      </c>
      <c r="T23" s="6">
        <f t="shared" ca="1" si="8"/>
        <v>0</v>
      </c>
      <c r="U23" s="6">
        <f t="shared" ca="1" si="17"/>
        <v>0</v>
      </c>
      <c r="V23" s="8">
        <f t="shared" ca="1" si="18"/>
        <v>0</v>
      </c>
      <c r="W23" s="8">
        <f t="shared" ca="1" si="19"/>
        <v>0</v>
      </c>
      <c r="X23" s="8">
        <f t="shared" ca="1" si="20"/>
        <v>1</v>
      </c>
      <c r="Y23" s="8"/>
      <c r="Z23" s="8"/>
      <c r="AA23" s="8"/>
      <c r="AB23" s="8"/>
      <c r="AC23" s="8"/>
      <c r="AD23" s="8"/>
      <c r="AE23" s="8"/>
      <c r="AF23" s="8"/>
    </row>
    <row r="24" spans="1:32" ht="15" x14ac:dyDescent="0.3">
      <c r="A24" s="6">
        <v>23</v>
      </c>
      <c r="B24" s="6">
        <f t="shared" ca="1" si="9"/>
        <v>2.5471189392555726</v>
      </c>
      <c r="C24" s="9">
        <f t="shared" ca="1" si="10"/>
        <v>73.751463370366096</v>
      </c>
      <c r="D24" s="6">
        <f t="shared" ca="1" si="0"/>
        <v>0.42750072557873253</v>
      </c>
      <c r="E24" s="6" t="str">
        <f ca="1">LOOKUP(RAND(),{0,0.4,0.7,0.9},{"DEPOSIT","WITHDRAWAL","INQUIRY","LOAN"})</f>
        <v>WITHDRAWAL</v>
      </c>
      <c r="F24" s="6" t="str">
        <f t="shared" ca="1" si="11"/>
        <v>t1</v>
      </c>
      <c r="G24" s="6">
        <f t="shared" ca="1" si="1"/>
        <v>5.0987957600794171</v>
      </c>
      <c r="H24" s="6">
        <f t="shared" ca="1" si="12"/>
        <v>78.850259130445508</v>
      </c>
      <c r="I24" s="6">
        <f t="shared" ca="1" si="13"/>
        <v>69.924036635253856</v>
      </c>
      <c r="J24" s="6">
        <f t="shared" ca="1" si="14"/>
        <v>76.482359287159667</v>
      </c>
      <c r="K24" s="9">
        <f t="shared" ca="1" si="15"/>
        <v>72.204344431110528</v>
      </c>
      <c r="L24" s="9">
        <f t="shared" ca="1" si="16"/>
        <v>73.751463370366096</v>
      </c>
      <c r="M24" s="6">
        <f t="shared" ca="1" si="2"/>
        <v>78.850259130445508</v>
      </c>
      <c r="N24" s="6">
        <f t="shared" ca="1" si="3"/>
        <v>0</v>
      </c>
      <c r="O24" s="6">
        <f t="shared" ca="1" si="4"/>
        <v>0</v>
      </c>
      <c r="P24" s="6">
        <f ca="1">COUNTIFS($C$2:C23,"&lt;="&amp;C24,$M$2:M23,"&gt;"&amp;C24)</f>
        <v>1</v>
      </c>
      <c r="Q24" s="9">
        <f t="shared" ca="1" si="5"/>
        <v>0</v>
      </c>
      <c r="R24" s="9">
        <f t="shared" ca="1" si="6"/>
        <v>3.8274267351122404</v>
      </c>
      <c r="S24" s="9">
        <f t="shared" ca="1" si="7"/>
        <v>0</v>
      </c>
      <c r="T24" s="6">
        <f t="shared" ca="1" si="8"/>
        <v>1.5471189392555686</v>
      </c>
      <c r="U24" s="6">
        <f t="shared" ca="1" si="17"/>
        <v>5.0987957600794171</v>
      </c>
      <c r="V24" s="8">
        <f t="shared" ca="1" si="18"/>
        <v>0</v>
      </c>
      <c r="W24" s="8">
        <f t="shared" ca="1" si="19"/>
        <v>0</v>
      </c>
      <c r="X24" s="8">
        <f t="shared" ca="1" si="20"/>
        <v>0</v>
      </c>
      <c r="Y24" s="8"/>
      <c r="Z24" s="8"/>
      <c r="AA24" s="8"/>
      <c r="AB24" s="8"/>
      <c r="AC24" s="8"/>
      <c r="AD24" s="8"/>
      <c r="AE24" s="8"/>
      <c r="AF24" s="8"/>
    </row>
    <row r="25" spans="1:32" ht="15" x14ac:dyDescent="0.3">
      <c r="A25" s="6">
        <v>24</v>
      </c>
      <c r="B25" s="6">
        <f t="shared" ca="1" si="9"/>
        <v>6.8487055709017257</v>
      </c>
      <c r="C25" s="9">
        <f t="shared" ca="1" si="10"/>
        <v>80.600168941267825</v>
      </c>
      <c r="D25" s="6">
        <f t="shared" ca="1" si="0"/>
        <v>0.65475910288316586</v>
      </c>
      <c r="E25" s="6" t="str">
        <f ca="1">LOOKUP(RAND(),{0,0.4,0.7,0.9},{"DEPOSIT","WITHDRAWAL","INQUIRY","LOAN"})</f>
        <v>WITHDRAWAL</v>
      </c>
      <c r="F25" s="6" t="str">
        <f t="shared" ca="1" si="11"/>
        <v>t1</v>
      </c>
      <c r="G25" s="6">
        <f t="shared" ca="1" si="1"/>
        <v>2.5409273571178903</v>
      </c>
      <c r="H25" s="6">
        <f t="shared" ca="1" si="12"/>
        <v>83.141096298385719</v>
      </c>
      <c r="I25" s="6">
        <f t="shared" ca="1" si="13"/>
        <v>69.924036635253856</v>
      </c>
      <c r="J25" s="6">
        <f t="shared" ca="1" si="14"/>
        <v>76.482359287159667</v>
      </c>
      <c r="K25" s="9">
        <f t="shared" ca="1" si="15"/>
        <v>72.204344431110528</v>
      </c>
      <c r="L25" s="9">
        <f t="shared" ca="1" si="16"/>
        <v>80.600168941267825</v>
      </c>
      <c r="M25" s="6">
        <f t="shared" ca="1" si="2"/>
        <v>83.141096298385719</v>
      </c>
      <c r="N25" s="6">
        <f t="shared" ca="1" si="3"/>
        <v>0</v>
      </c>
      <c r="O25" s="6">
        <f t="shared" ca="1" si="4"/>
        <v>0</v>
      </c>
      <c r="P25" s="6">
        <f ca="1">COUNTIFS($C$2:C24,"&lt;="&amp;C25,$M$2:M24,"&gt;"&amp;C25)</f>
        <v>0</v>
      </c>
      <c r="Q25" s="9">
        <f t="shared" ca="1" si="5"/>
        <v>0</v>
      </c>
      <c r="R25" s="9">
        <f t="shared" ca="1" si="6"/>
        <v>10.676132306013969</v>
      </c>
      <c r="S25" s="9">
        <f t="shared" ca="1" si="7"/>
        <v>4.1178096541081572</v>
      </c>
      <c r="T25" s="6">
        <f t="shared" ca="1" si="8"/>
        <v>8.395824510157297</v>
      </c>
      <c r="U25" s="6">
        <f t="shared" ca="1" si="17"/>
        <v>2.5409273571178903</v>
      </c>
      <c r="V25" s="8">
        <f t="shared" ca="1" si="18"/>
        <v>0</v>
      </c>
      <c r="W25" s="8">
        <f t="shared" ca="1" si="19"/>
        <v>0</v>
      </c>
      <c r="X25" s="8">
        <f t="shared" ca="1" si="20"/>
        <v>0</v>
      </c>
      <c r="Y25" s="8"/>
      <c r="Z25" s="8"/>
      <c r="AA25" s="8"/>
      <c r="AB25" s="8"/>
      <c r="AC25" s="8"/>
      <c r="AD25" s="8"/>
      <c r="AE25" s="8"/>
      <c r="AF25" s="8"/>
    </row>
    <row r="26" spans="1:32" ht="15" x14ac:dyDescent="0.3">
      <c r="A26" s="6">
        <v>25</v>
      </c>
      <c r="B26" s="6">
        <f t="shared" ca="1" si="9"/>
        <v>6.259661990662968</v>
      </c>
      <c r="C26" s="9">
        <f t="shared" ca="1" si="10"/>
        <v>86.859830931930787</v>
      </c>
      <c r="D26" s="6">
        <f t="shared" ca="1" si="0"/>
        <v>0.29046098228152151</v>
      </c>
      <c r="E26" s="6" t="str">
        <f ca="1">LOOKUP(RAND(),{0,0.4,0.7,0.9},{"DEPOSIT","WITHDRAWAL","INQUIRY","LOAN"})</f>
        <v>DEPOSIT</v>
      </c>
      <c r="F26" s="6" t="str">
        <f t="shared" ca="1" si="11"/>
        <v>t1</v>
      </c>
      <c r="G26" s="6">
        <f t="shared" ca="1" si="1"/>
        <v>6.1814301199739639</v>
      </c>
      <c r="H26" s="6">
        <f t="shared" ca="1" si="12"/>
        <v>93.041261051904755</v>
      </c>
      <c r="I26" s="6">
        <f t="shared" ca="1" si="13"/>
        <v>69.924036635253856</v>
      </c>
      <c r="J26" s="6">
        <f t="shared" ca="1" si="14"/>
        <v>76.482359287159667</v>
      </c>
      <c r="K26" s="9">
        <f t="shared" ca="1" si="15"/>
        <v>72.204344431110528</v>
      </c>
      <c r="L26" s="9">
        <f t="shared" ca="1" si="16"/>
        <v>86.859830931930787</v>
      </c>
      <c r="M26" s="6">
        <f t="shared" ca="1" si="2"/>
        <v>93.041261051904755</v>
      </c>
      <c r="N26" s="6">
        <f t="shared" ca="1" si="3"/>
        <v>0</v>
      </c>
      <c r="O26" s="6">
        <f t="shared" ca="1" si="4"/>
        <v>0</v>
      </c>
      <c r="P26" s="6">
        <f ca="1">COUNTIFS($C$2:C25,"&lt;="&amp;C26,$M$2:M25,"&gt;"&amp;C26)</f>
        <v>0</v>
      </c>
      <c r="Q26" s="9">
        <f t="shared" ca="1" si="5"/>
        <v>0</v>
      </c>
      <c r="R26" s="9">
        <f t="shared" ca="1" si="6"/>
        <v>16.935794296676931</v>
      </c>
      <c r="S26" s="9">
        <f t="shared" ca="1" si="7"/>
        <v>10.37747164477112</v>
      </c>
      <c r="T26" s="6">
        <f t="shared" ca="1" si="8"/>
        <v>14.65548650082026</v>
      </c>
      <c r="U26" s="6">
        <f t="shared" ca="1" si="17"/>
        <v>6.1814301199739639</v>
      </c>
      <c r="V26" s="8">
        <f t="shared" ca="1" si="18"/>
        <v>0</v>
      </c>
      <c r="W26" s="8">
        <f t="shared" ca="1" si="19"/>
        <v>0</v>
      </c>
      <c r="X26" s="8">
        <f t="shared" ca="1" si="20"/>
        <v>0</v>
      </c>
      <c r="Y26" s="8"/>
      <c r="Z26" s="8"/>
      <c r="AA26" s="8"/>
      <c r="AB26" s="8"/>
      <c r="AC26" s="8"/>
      <c r="AD26" s="8"/>
      <c r="AE26" s="8"/>
      <c r="AF26" s="8"/>
    </row>
    <row r="27" spans="1:32" ht="15" x14ac:dyDescent="0.3">
      <c r="A27" s="6">
        <v>26</v>
      </c>
      <c r="B27" s="6">
        <f t="shared" ca="1" si="9"/>
        <v>0.73114339939823092</v>
      </c>
      <c r="C27" s="9">
        <f t="shared" ca="1" si="10"/>
        <v>87.590974331329022</v>
      </c>
      <c r="D27" s="6">
        <f t="shared" ca="1" si="0"/>
        <v>0.99511807380887563</v>
      </c>
      <c r="E27" s="6" t="str">
        <f ca="1">LOOKUP(RAND(),{0,0.4,0.7,0.9},{"DEPOSIT","WITHDRAWAL","INQUIRY","LOAN"})</f>
        <v>DEPOSIT</v>
      </c>
      <c r="F27" s="6" t="str">
        <f t="shared" ca="1" si="11"/>
        <v>t2</v>
      </c>
      <c r="G27" s="6">
        <f t="shared" ca="1" si="1"/>
        <v>1</v>
      </c>
      <c r="H27" s="6">
        <f t="shared" ca="1" si="12"/>
        <v>93.041261051904755</v>
      </c>
      <c r="I27" s="6">
        <f t="shared" ca="1" si="13"/>
        <v>88.590974331329022</v>
      </c>
      <c r="J27" s="6">
        <f t="shared" ca="1" si="14"/>
        <v>76.482359287159667</v>
      </c>
      <c r="K27" s="9">
        <f t="shared" ca="1" si="15"/>
        <v>72.204344431110528</v>
      </c>
      <c r="L27" s="9">
        <f t="shared" ca="1" si="16"/>
        <v>87.590974331329022</v>
      </c>
      <c r="M27" s="6">
        <f t="shared" ca="1" si="2"/>
        <v>88.590974331329022</v>
      </c>
      <c r="N27" s="6">
        <f t="shared" ca="1" si="3"/>
        <v>0</v>
      </c>
      <c r="O27" s="6">
        <f t="shared" ca="1" si="4"/>
        <v>0</v>
      </c>
      <c r="P27" s="6">
        <f ca="1">COUNTIFS($C$2:C26,"&lt;="&amp;C27,$M$2:M26,"&gt;"&amp;C27)</f>
        <v>1</v>
      </c>
      <c r="Q27" s="9">
        <f t="shared" ca="1" si="5"/>
        <v>0</v>
      </c>
      <c r="R27" s="9">
        <f t="shared" ca="1" si="6"/>
        <v>0</v>
      </c>
      <c r="S27" s="9">
        <f t="shared" ca="1" si="7"/>
        <v>11.108615044169355</v>
      </c>
      <c r="T27" s="6">
        <f t="shared" ca="1" si="8"/>
        <v>15.386629900218495</v>
      </c>
      <c r="U27" s="6">
        <f t="shared" ca="1" si="17"/>
        <v>0</v>
      </c>
      <c r="V27" s="8">
        <f t="shared" ca="1" si="18"/>
        <v>1</v>
      </c>
      <c r="W27" s="8">
        <f t="shared" ca="1" si="19"/>
        <v>0</v>
      </c>
      <c r="X27" s="8">
        <f t="shared" ca="1" si="20"/>
        <v>0</v>
      </c>
      <c r="Y27" s="8"/>
      <c r="Z27" s="8"/>
      <c r="AA27" s="8"/>
      <c r="AB27" s="8"/>
      <c r="AC27" s="8"/>
      <c r="AD27" s="8"/>
      <c r="AE27" s="8"/>
      <c r="AF27" s="8"/>
    </row>
    <row r="28" spans="1:32" ht="15" x14ac:dyDescent="0.3">
      <c r="A28" s="6">
        <v>27</v>
      </c>
      <c r="B28" s="6">
        <f t="shared" ca="1" si="9"/>
        <v>1.5468362781401108</v>
      </c>
      <c r="C28" s="9">
        <f t="shared" ca="1" si="10"/>
        <v>89.137810609469128</v>
      </c>
      <c r="D28" s="6">
        <f t="shared" ca="1" si="0"/>
        <v>0.17118132593926028</v>
      </c>
      <c r="E28" s="6" t="str">
        <f ca="1">LOOKUP(RAND(),{0,0.4,0.7,0.9},{"DEPOSIT","WITHDRAWAL","INQUIRY","LOAN"})</f>
        <v>INQUIRY</v>
      </c>
      <c r="F28" s="6" t="str">
        <f t="shared" ca="1" si="11"/>
        <v>t4</v>
      </c>
      <c r="G28" s="6">
        <f t="shared" ca="1" si="1"/>
        <v>7.0601275947258628</v>
      </c>
      <c r="H28" s="6">
        <f t="shared" ca="1" si="12"/>
        <v>93.041261051904755</v>
      </c>
      <c r="I28" s="6">
        <f t="shared" ca="1" si="13"/>
        <v>88.590974331329022</v>
      </c>
      <c r="J28" s="6">
        <f t="shared" ca="1" si="14"/>
        <v>76.482359287159667</v>
      </c>
      <c r="K28" s="9">
        <f t="shared" ca="1" si="15"/>
        <v>96.197938204194998</v>
      </c>
      <c r="L28" s="9">
        <f t="shared" ca="1" si="16"/>
        <v>89.137810609469128</v>
      </c>
      <c r="M28" s="6">
        <f t="shared" ca="1" si="2"/>
        <v>96.197938204194998</v>
      </c>
      <c r="N28" s="6">
        <f t="shared" ca="1" si="3"/>
        <v>0</v>
      </c>
      <c r="O28" s="6">
        <f t="shared" ca="1" si="4"/>
        <v>0</v>
      </c>
      <c r="P28" s="6">
        <f ca="1">COUNTIFS($C$2:C27,"&lt;="&amp;C28,$M$2:M27,"&gt;"&amp;C28)</f>
        <v>1</v>
      </c>
      <c r="Q28" s="9">
        <f t="shared" ca="1" si="5"/>
        <v>0</v>
      </c>
      <c r="R28" s="9">
        <f t="shared" ca="1" si="6"/>
        <v>0.54683627814010549</v>
      </c>
      <c r="S28" s="9">
        <f t="shared" ca="1" si="7"/>
        <v>12.65545132230946</v>
      </c>
      <c r="T28" s="6">
        <f t="shared" ca="1" si="8"/>
        <v>0</v>
      </c>
      <c r="U28" s="6">
        <f t="shared" ca="1" si="17"/>
        <v>0</v>
      </c>
      <c r="V28" s="8">
        <f t="shared" ca="1" si="18"/>
        <v>0</v>
      </c>
      <c r="W28" s="8">
        <f t="shared" ca="1" si="19"/>
        <v>0</v>
      </c>
      <c r="X28" s="8">
        <f t="shared" ca="1" si="20"/>
        <v>7.0601275947258628</v>
      </c>
      <c r="Y28" s="8"/>
      <c r="Z28" s="8"/>
      <c r="AA28" s="8"/>
      <c r="AB28" s="8"/>
      <c r="AC28" s="8"/>
      <c r="AD28" s="8"/>
      <c r="AE28" s="8"/>
      <c r="AF28" s="8"/>
    </row>
    <row r="29" spans="1:32" ht="15" x14ac:dyDescent="0.3">
      <c r="A29" s="6">
        <v>28</v>
      </c>
      <c r="B29" s="6">
        <f t="shared" ca="1" si="9"/>
        <v>1.2542509261862158</v>
      </c>
      <c r="C29" s="9">
        <f t="shared" ca="1" si="10"/>
        <v>90.392061535655344</v>
      </c>
      <c r="D29" s="6">
        <f t="shared" ca="1" si="0"/>
        <v>0.69307591078879183</v>
      </c>
      <c r="E29" s="6" t="str">
        <f ca="1">LOOKUP(RAND(),{0,0.4,0.7,0.9},{"DEPOSIT","WITHDRAWAL","INQUIRY","LOAN"})</f>
        <v>INQUIRY</v>
      </c>
      <c r="F29" s="6" t="str">
        <f t="shared" ca="1" si="11"/>
        <v>t3</v>
      </c>
      <c r="G29" s="6">
        <f t="shared" ca="1" si="1"/>
        <v>1.4664629856538696</v>
      </c>
      <c r="H29" s="6">
        <f t="shared" ca="1" si="12"/>
        <v>93.041261051904755</v>
      </c>
      <c r="I29" s="6">
        <f t="shared" ca="1" si="13"/>
        <v>88.590974331329022</v>
      </c>
      <c r="J29" s="6">
        <f t="shared" ca="1" si="14"/>
        <v>91.858524521309221</v>
      </c>
      <c r="K29" s="9">
        <f t="shared" ca="1" si="15"/>
        <v>96.197938204194998</v>
      </c>
      <c r="L29" s="9">
        <f t="shared" ca="1" si="16"/>
        <v>90.392061535655344</v>
      </c>
      <c r="M29" s="6">
        <f t="shared" ca="1" si="2"/>
        <v>91.858524521309221</v>
      </c>
      <c r="N29" s="6">
        <f t="shared" ca="1" si="3"/>
        <v>0</v>
      </c>
      <c r="O29" s="6">
        <f t="shared" ca="1" si="4"/>
        <v>0</v>
      </c>
      <c r="P29" s="6">
        <f ca="1">COUNTIFS($C$2:C28,"&lt;="&amp;C29,$M$2:M28,"&gt;"&amp;C29)</f>
        <v>2</v>
      </c>
      <c r="Q29" s="9">
        <f t="shared" ca="1" si="5"/>
        <v>0</v>
      </c>
      <c r="R29" s="9">
        <f t="shared" ca="1" si="6"/>
        <v>1.801087204326322</v>
      </c>
      <c r="S29" s="9">
        <f t="shared" ca="1" si="7"/>
        <v>0</v>
      </c>
      <c r="T29" s="6">
        <f t="shared" ca="1" si="8"/>
        <v>0</v>
      </c>
      <c r="U29" s="6">
        <f t="shared" ca="1" si="17"/>
        <v>0</v>
      </c>
      <c r="V29" s="8">
        <f t="shared" ca="1" si="18"/>
        <v>0</v>
      </c>
      <c r="W29" s="8">
        <f t="shared" ca="1" si="19"/>
        <v>1.4664629856538696</v>
      </c>
      <c r="X29" s="8">
        <f t="shared" ca="1" si="20"/>
        <v>0</v>
      </c>
      <c r="Y29" s="8"/>
      <c r="Z29" s="8"/>
      <c r="AA29" s="8"/>
      <c r="AB29" s="8"/>
      <c r="AC29" s="8"/>
      <c r="AD29" s="8"/>
      <c r="AE29" s="8"/>
      <c r="AF29" s="8"/>
    </row>
    <row r="30" spans="1:32" ht="15" x14ac:dyDescent="0.3">
      <c r="A30" s="6">
        <v>29</v>
      </c>
      <c r="B30" s="6">
        <f t="shared" ca="1" si="9"/>
        <v>5.1735306027252523</v>
      </c>
      <c r="C30" s="9">
        <f t="shared" ca="1" si="10"/>
        <v>95.565592138380595</v>
      </c>
      <c r="D30" s="6">
        <f t="shared" ca="1" si="0"/>
        <v>0.76091891366881559</v>
      </c>
      <c r="E30" s="6" t="str">
        <f ca="1">LOOKUP(RAND(),{0,0.4,0.7,0.9},{"DEPOSIT","WITHDRAWAL","INQUIRY","LOAN"})</f>
        <v>INQUIRY</v>
      </c>
      <c r="F30" s="6" t="str">
        <f t="shared" ca="1" si="11"/>
        <v>t2</v>
      </c>
      <c r="G30" s="6">
        <f t="shared" ca="1" si="1"/>
        <v>1.0929139165525565</v>
      </c>
      <c r="H30" s="6">
        <f t="shared" ca="1" si="12"/>
        <v>93.041261051904755</v>
      </c>
      <c r="I30" s="6">
        <f t="shared" ca="1" si="13"/>
        <v>96.658506054933156</v>
      </c>
      <c r="J30" s="6">
        <f t="shared" ca="1" si="14"/>
        <v>91.858524521309221</v>
      </c>
      <c r="K30" s="9">
        <f t="shared" ca="1" si="15"/>
        <v>96.197938204194998</v>
      </c>
      <c r="L30" s="9">
        <f t="shared" ca="1" si="16"/>
        <v>95.565592138380595</v>
      </c>
      <c r="M30" s="6">
        <f t="shared" ca="1" si="2"/>
        <v>96.658506054933156</v>
      </c>
      <c r="N30" s="6">
        <f t="shared" ca="1" si="3"/>
        <v>0</v>
      </c>
      <c r="O30" s="6">
        <f t="shared" ca="1" si="4"/>
        <v>0</v>
      </c>
      <c r="P30" s="6">
        <f ca="1">COUNTIFS($C$2:C29,"&lt;="&amp;C30,$M$2:M29,"&gt;"&amp;C30)</f>
        <v>1</v>
      </c>
      <c r="Q30" s="9">
        <f t="shared" ca="1" si="5"/>
        <v>2.5243310864758399</v>
      </c>
      <c r="R30" s="9">
        <f t="shared" ca="1" si="6"/>
        <v>0</v>
      </c>
      <c r="S30" s="9">
        <f t="shared" ca="1" si="7"/>
        <v>3.7070676170713739</v>
      </c>
      <c r="T30" s="6">
        <f t="shared" ca="1" si="8"/>
        <v>0</v>
      </c>
      <c r="U30" s="6">
        <f t="shared" ca="1" si="17"/>
        <v>0</v>
      </c>
      <c r="V30" s="8">
        <f t="shared" ca="1" si="18"/>
        <v>1.0929139165525565</v>
      </c>
      <c r="W30" s="8">
        <f t="shared" ca="1" si="19"/>
        <v>0</v>
      </c>
      <c r="X30" s="8">
        <f t="shared" ca="1" si="20"/>
        <v>0</v>
      </c>
      <c r="Y30" s="8"/>
      <c r="Z30" s="8"/>
      <c r="AA30" s="8"/>
      <c r="AB30" s="8"/>
      <c r="AC30" s="8"/>
      <c r="AD30" s="8"/>
      <c r="AE30" s="8"/>
      <c r="AF30" s="8"/>
    </row>
    <row r="31" spans="1:32" ht="15" x14ac:dyDescent="0.3">
      <c r="A31" s="6">
        <v>30</v>
      </c>
      <c r="B31" s="6">
        <f t="shared" ca="1" si="9"/>
        <v>1.1797382700998738</v>
      </c>
      <c r="C31" s="9">
        <f t="shared" ca="1" si="10"/>
        <v>96.74533040848047</v>
      </c>
      <c r="D31" s="6">
        <f t="shared" ca="1" si="0"/>
        <v>0.24117389787720767</v>
      </c>
      <c r="E31" s="6" t="str">
        <f ca="1">LOOKUP(RAND(),{0,0.4,0.7,0.9},{"DEPOSIT","WITHDRAWAL","INQUIRY","LOAN"})</f>
        <v>INQUIRY</v>
      </c>
      <c r="F31" s="6" t="str">
        <f t="shared" ca="1" si="11"/>
        <v>t1</v>
      </c>
      <c r="G31" s="6">
        <f t="shared" ca="1" si="1"/>
        <v>5.6889481509650306</v>
      </c>
      <c r="H31" s="6">
        <f t="shared" ca="1" si="12"/>
        <v>102.4342785594455</v>
      </c>
      <c r="I31" s="6">
        <f t="shared" ca="1" si="13"/>
        <v>96.658506054933156</v>
      </c>
      <c r="J31" s="6">
        <f t="shared" ca="1" si="14"/>
        <v>91.858524521309221</v>
      </c>
      <c r="K31" s="9">
        <f t="shared" ca="1" si="15"/>
        <v>96.197938204194998</v>
      </c>
      <c r="L31" s="9">
        <f t="shared" ca="1" si="16"/>
        <v>96.74533040848047</v>
      </c>
      <c r="M31" s="6">
        <f t="shared" ca="1" si="2"/>
        <v>102.4342785594455</v>
      </c>
      <c r="N31" s="6">
        <f t="shared" ca="1" si="3"/>
        <v>0</v>
      </c>
      <c r="O31" s="6">
        <f t="shared" ca="1" si="4"/>
        <v>0</v>
      </c>
      <c r="P31" s="6">
        <f ca="1">COUNTIFS($C$2:C30,"&lt;="&amp;C31,$M$2:M30,"&gt;"&amp;C31)</f>
        <v>0</v>
      </c>
      <c r="Q31" s="9">
        <f t="shared" ca="1" si="5"/>
        <v>0</v>
      </c>
      <c r="R31" s="9">
        <f t="shared" ca="1" si="6"/>
        <v>8.6824353547314104E-2</v>
      </c>
      <c r="S31" s="9">
        <f t="shared" ca="1" si="7"/>
        <v>4.8868058871712492</v>
      </c>
      <c r="T31" s="6">
        <f t="shared" ca="1" si="8"/>
        <v>0.54739220428547242</v>
      </c>
      <c r="U31" s="6">
        <f t="shared" ca="1" si="17"/>
        <v>5.6889481509650306</v>
      </c>
      <c r="V31" s="8">
        <f t="shared" ca="1" si="18"/>
        <v>0</v>
      </c>
      <c r="W31" s="8">
        <f t="shared" ca="1" si="19"/>
        <v>0</v>
      </c>
      <c r="X31" s="8">
        <f t="shared" ca="1" si="20"/>
        <v>0</v>
      </c>
      <c r="Y31" s="8"/>
      <c r="Z31" s="8"/>
      <c r="AA31" s="8"/>
      <c r="AB31" s="8"/>
      <c r="AC31" s="8"/>
      <c r="AD31" s="8"/>
      <c r="AE31" s="8"/>
      <c r="AF31" s="8"/>
    </row>
    <row r="32" spans="1:32" ht="15" x14ac:dyDescent="0.3">
      <c r="A32" s="6">
        <v>31</v>
      </c>
      <c r="B32" s="6">
        <f t="shared" ca="1" si="9"/>
        <v>1.3142187758274411</v>
      </c>
      <c r="C32" s="9">
        <f t="shared" ca="1" si="10"/>
        <v>98.059549184307912</v>
      </c>
      <c r="D32" s="6">
        <f t="shared" ca="1" si="0"/>
        <v>0.77225280144259123</v>
      </c>
      <c r="E32" s="6" t="str">
        <f ca="1">LOOKUP(RAND(),{0,0.4,0.7,0.9},{"DEPOSIT","WITHDRAWAL","INQUIRY","LOAN"})</f>
        <v>INQUIRY</v>
      </c>
      <c r="F32" s="6" t="str">
        <f t="shared" ca="1" si="11"/>
        <v>t3</v>
      </c>
      <c r="G32" s="6">
        <f t="shared" ca="1" si="1"/>
        <v>1.0337732782125282</v>
      </c>
      <c r="H32" s="6">
        <f t="shared" ca="1" si="12"/>
        <v>102.4342785594455</v>
      </c>
      <c r="I32" s="6">
        <f t="shared" ca="1" si="13"/>
        <v>96.658506054933156</v>
      </c>
      <c r="J32" s="6">
        <f t="shared" ca="1" si="14"/>
        <v>99.093322462520433</v>
      </c>
      <c r="K32" s="9">
        <f t="shared" ca="1" si="15"/>
        <v>96.197938204194998</v>
      </c>
      <c r="L32" s="9">
        <f t="shared" ca="1" si="16"/>
        <v>98.059549184307912</v>
      </c>
      <c r="M32" s="6">
        <f t="shared" ca="1" si="2"/>
        <v>99.093322462520433</v>
      </c>
      <c r="N32" s="6">
        <f t="shared" ca="1" si="3"/>
        <v>0</v>
      </c>
      <c r="O32" s="6">
        <f t="shared" ca="1" si="4"/>
        <v>0</v>
      </c>
      <c r="P32" s="6">
        <f ca="1">COUNTIFS($C$2:C31,"&lt;="&amp;C32,$M$2:M31,"&gt;"&amp;C32)</f>
        <v>1</v>
      </c>
      <c r="Q32" s="9">
        <f t="shared" ca="1" si="5"/>
        <v>0</v>
      </c>
      <c r="R32" s="9">
        <f t="shared" ca="1" si="6"/>
        <v>1.4010431293747558</v>
      </c>
      <c r="S32" s="9">
        <f t="shared" ca="1" si="7"/>
        <v>0</v>
      </c>
      <c r="T32" s="6">
        <f t="shared" ca="1" si="8"/>
        <v>1.8616109801129141</v>
      </c>
      <c r="U32" s="6">
        <f t="shared" ca="1" si="17"/>
        <v>0</v>
      </c>
      <c r="V32" s="8">
        <f t="shared" ca="1" si="18"/>
        <v>0</v>
      </c>
      <c r="W32" s="8">
        <f t="shared" ca="1" si="19"/>
        <v>1.0337732782125282</v>
      </c>
      <c r="X32" s="8">
        <f t="shared" ca="1" si="20"/>
        <v>0</v>
      </c>
      <c r="Y32" s="8"/>
      <c r="Z32" s="8"/>
      <c r="AA32" s="8"/>
      <c r="AB32" s="8"/>
      <c r="AC32" s="8"/>
      <c r="AD32" s="8"/>
      <c r="AE32" s="8"/>
      <c r="AF32" s="8"/>
    </row>
    <row r="33" spans="1:32" ht="15" x14ac:dyDescent="0.3">
      <c r="A33" s="6">
        <v>32</v>
      </c>
      <c r="B33" s="6">
        <f t="shared" ca="1" si="9"/>
        <v>11.466550727708352</v>
      </c>
      <c r="C33" s="9">
        <f t="shared" ca="1" si="10"/>
        <v>109.52609991201626</v>
      </c>
      <c r="D33" s="6">
        <f t="shared" ca="1" si="0"/>
        <v>0.49240971281047419</v>
      </c>
      <c r="E33" s="6" t="str">
        <f ca="1">LOOKUP(RAND(),{0,0.4,0.7,0.9},{"DEPOSIT","WITHDRAWAL","INQUIRY","LOAN"})</f>
        <v>WITHDRAWAL</v>
      </c>
      <c r="F33" s="6" t="str">
        <f t="shared" ca="1" si="11"/>
        <v>t1</v>
      </c>
      <c r="G33" s="6">
        <f t="shared" ca="1" si="1"/>
        <v>4.2506649565117707</v>
      </c>
      <c r="H33" s="6">
        <f t="shared" ca="1" si="12"/>
        <v>113.77676486852803</v>
      </c>
      <c r="I33" s="6">
        <f t="shared" ca="1" si="13"/>
        <v>96.658506054933156</v>
      </c>
      <c r="J33" s="6">
        <f t="shared" ca="1" si="14"/>
        <v>99.093322462520433</v>
      </c>
      <c r="K33" s="9">
        <f t="shared" ca="1" si="15"/>
        <v>96.197938204194998</v>
      </c>
      <c r="L33" s="9">
        <f t="shared" ca="1" si="16"/>
        <v>109.52609991201626</v>
      </c>
      <c r="M33" s="6">
        <f t="shared" ca="1" si="2"/>
        <v>113.77676486852803</v>
      </c>
      <c r="N33" s="6">
        <f t="shared" ca="1" si="3"/>
        <v>0</v>
      </c>
      <c r="O33" s="6">
        <f t="shared" ca="1" si="4"/>
        <v>0</v>
      </c>
      <c r="P33" s="6">
        <f ca="1">COUNTIFS($C$2:C32,"&lt;="&amp;C33,$M$2:M32,"&gt;"&amp;C33)</f>
        <v>0</v>
      </c>
      <c r="Q33" s="9">
        <f t="shared" ca="1" si="5"/>
        <v>0</v>
      </c>
      <c r="R33" s="9">
        <f t="shared" ca="1" si="6"/>
        <v>12.867593857083108</v>
      </c>
      <c r="S33" s="9">
        <f t="shared" ca="1" si="7"/>
        <v>10.432777449495831</v>
      </c>
      <c r="T33" s="6">
        <f t="shared" ca="1" si="8"/>
        <v>13.328161707821266</v>
      </c>
      <c r="U33" s="6">
        <f t="shared" ca="1" si="17"/>
        <v>4.2506649565117707</v>
      </c>
      <c r="V33" s="8">
        <f t="shared" ca="1" si="18"/>
        <v>0</v>
      </c>
      <c r="W33" s="8">
        <f t="shared" ca="1" si="19"/>
        <v>0</v>
      </c>
      <c r="X33" s="8">
        <f t="shared" ca="1" si="20"/>
        <v>0</v>
      </c>
      <c r="Y33" s="8"/>
      <c r="Z33" s="8"/>
      <c r="AA33" s="8"/>
      <c r="AB33" s="8"/>
      <c r="AC33" s="8"/>
      <c r="AD33" s="8"/>
      <c r="AE33" s="8"/>
      <c r="AF33" s="8"/>
    </row>
    <row r="34" spans="1:32" ht="15" x14ac:dyDescent="0.3">
      <c r="A34" s="6">
        <v>33</v>
      </c>
      <c r="B34" s="6">
        <f t="shared" ca="1" si="9"/>
        <v>5.7380874960836676</v>
      </c>
      <c r="C34" s="9">
        <f t="shared" ca="1" si="10"/>
        <v>115.26418740809993</v>
      </c>
      <c r="D34" s="6">
        <f t="shared" ref="D34:D65" ca="1" si="21">RAND()</f>
        <v>0.81742130777535815</v>
      </c>
      <c r="E34" s="6" t="str">
        <f ca="1">LOOKUP(RAND(),{0,0.4,0.7,0.9},{"DEPOSIT","WITHDRAWAL","INQUIRY","LOAN"})</f>
        <v>WITHDRAWAL</v>
      </c>
      <c r="F34" s="6" t="str">
        <f t="shared" ca="1" si="11"/>
        <v>t1</v>
      </c>
      <c r="G34" s="6">
        <f t="shared" ref="G34:G65" ca="1" si="22">IF(E34="DEPOSIT",MAX(1,-5*LN(D34)),IF(E34="WITHDRAWAL",MAX(1,-6*LN(D34)),IF(E34="INQUIRY",MAX(1,-4*LN(D34)),MAX(1,-12*LN(D34)))))</f>
        <v>1.2096038426759388</v>
      </c>
      <c r="H34" s="6">
        <f t="shared" ca="1" si="12"/>
        <v>116.47379125077586</v>
      </c>
      <c r="I34" s="6">
        <f t="shared" ca="1" si="13"/>
        <v>96.658506054933156</v>
      </c>
      <c r="J34" s="6">
        <f t="shared" ca="1" si="14"/>
        <v>99.093322462520433</v>
      </c>
      <c r="K34" s="9">
        <f t="shared" ca="1" si="15"/>
        <v>96.197938204194998</v>
      </c>
      <c r="L34" s="9">
        <f t="shared" ca="1" si="16"/>
        <v>115.26418740809993</v>
      </c>
      <c r="M34" s="6">
        <f t="shared" ref="M34:M65" ca="1" si="23">L34+G34</f>
        <v>116.47379125077586</v>
      </c>
      <c r="N34" s="6">
        <f t="shared" ca="1" si="3"/>
        <v>0</v>
      </c>
      <c r="O34" s="6">
        <f t="shared" ca="1" si="4"/>
        <v>0</v>
      </c>
      <c r="P34" s="6">
        <f ca="1">COUNTIFS($C$2:C33,"&lt;="&amp;C34,$M$2:M33,"&gt;"&amp;C34)</f>
        <v>0</v>
      </c>
      <c r="Q34" s="9">
        <f t="shared" ref="Q34:Q65" ca="1" si="24">MAX(0,C34-H34)</f>
        <v>0</v>
      </c>
      <c r="R34" s="9">
        <f t="shared" ref="R34:R65" ca="1" si="25">MAX(0,C34-I34)</f>
        <v>18.605681353166773</v>
      </c>
      <c r="S34" s="9">
        <f t="shared" ref="S34:S65" ca="1" si="26">MAX(0,C34-J34)</f>
        <v>16.170864945579495</v>
      </c>
      <c r="T34" s="6">
        <f t="shared" ref="T34:T65" ca="1" si="27">MAX(0,C34-K34)</f>
        <v>19.066249203904931</v>
      </c>
      <c r="U34" s="6">
        <f t="shared" ca="1" si="17"/>
        <v>1.2096038426759388</v>
      </c>
      <c r="V34" s="8">
        <f t="shared" ca="1" si="18"/>
        <v>0</v>
      </c>
      <c r="W34" s="8">
        <f t="shared" ca="1" si="19"/>
        <v>0</v>
      </c>
      <c r="X34" s="8">
        <f t="shared" ca="1" si="20"/>
        <v>0</v>
      </c>
      <c r="Y34" s="8"/>
      <c r="Z34" s="8"/>
      <c r="AA34" s="8"/>
      <c r="AB34" s="8"/>
      <c r="AC34" s="8"/>
      <c r="AD34" s="8"/>
      <c r="AE34" s="8"/>
      <c r="AF34" s="8"/>
    </row>
    <row r="35" spans="1:32" ht="15" x14ac:dyDescent="0.3">
      <c r="A35" s="6">
        <v>34</v>
      </c>
      <c r="B35" s="6">
        <f t="shared" ref="B35:B66" ca="1" si="28">-LN(1-RAND())/(20/60)</f>
        <v>1.8963517447349079</v>
      </c>
      <c r="C35" s="9">
        <f t="shared" ref="C35:C66" ca="1" si="29">C34+B35</f>
        <v>117.16053915283484</v>
      </c>
      <c r="D35" s="6">
        <f t="shared" ca="1" si="21"/>
        <v>0.408189647782632</v>
      </c>
      <c r="E35" s="6" t="str">
        <f ca="1">LOOKUP(RAND(),{0,0.4,0.7,0.9},{"DEPOSIT","WITHDRAWAL","INQUIRY","LOAN"})</f>
        <v>DEPOSIT</v>
      </c>
      <c r="F35" s="6" t="str">
        <f t="shared" ref="F35:F66" ca="1" si="30">IF(C35&gt;MAX(H34,I34,J34,K34),"t1",IF(MIN(H34,I34,J34,K34)=H34,"t1",(IF(MIN(H34,I34,J34,K34)=I34,"t2",IF(MIN(H34,I34,J34,K34)=J34,"t3","t4")))))</f>
        <v>t1</v>
      </c>
      <c r="G35" s="6">
        <f t="shared" ca="1" si="22"/>
        <v>4.4801169478903624</v>
      </c>
      <c r="H35" s="6">
        <f t="shared" ref="H35:H66" ca="1" si="31">IF(F35="t1",M35,H34)</f>
        <v>121.64065610072521</v>
      </c>
      <c r="I35" s="6">
        <f t="shared" ref="I35:I66" ca="1" si="32">IF(F35="t2",M35,I34)</f>
        <v>96.658506054933156</v>
      </c>
      <c r="J35" s="6">
        <f t="shared" ref="J35:J66" ca="1" si="33">IF(F35="t3",M35,J34)</f>
        <v>99.093322462520433</v>
      </c>
      <c r="K35" s="9">
        <f t="shared" ref="K35:K66" ca="1" si="34">IF(F35="t4",M35,K34)</f>
        <v>96.197938204194998</v>
      </c>
      <c r="L35" s="9">
        <f t="shared" ref="L35:L66" ca="1" si="35">IF(N35=0,C35,MIN(H34,I34,J34,K34))</f>
        <v>117.16053915283484</v>
      </c>
      <c r="M35" s="6">
        <f t="shared" ca="1" si="23"/>
        <v>121.64065610072521</v>
      </c>
      <c r="N35" s="6">
        <f t="shared" ref="N35:N66" ca="1" si="36">IF(C35&lt;MIN(H34,I34,J34),MIN(H34,I34,J34)-C35,0)</f>
        <v>0</v>
      </c>
      <c r="O35" s="6">
        <f t="shared" ca="1" si="4"/>
        <v>0</v>
      </c>
      <c r="P35" s="6">
        <f ca="1">COUNTIFS($C$2:C34,"&lt;="&amp;C35,$M$2:M34,"&gt;"&amp;C35)</f>
        <v>0</v>
      </c>
      <c r="Q35" s="9">
        <f t="shared" ca="1" si="24"/>
        <v>0</v>
      </c>
      <c r="R35" s="9">
        <f t="shared" ca="1" si="25"/>
        <v>20.502033097901688</v>
      </c>
      <c r="S35" s="9">
        <f t="shared" ca="1" si="26"/>
        <v>18.06721669031441</v>
      </c>
      <c r="T35" s="6">
        <f t="shared" ca="1" si="27"/>
        <v>20.962600948639846</v>
      </c>
      <c r="U35" s="6">
        <f t="shared" ca="1" si="17"/>
        <v>4.4801169478903624</v>
      </c>
      <c r="V35" s="8">
        <f t="shared" ca="1" si="18"/>
        <v>0</v>
      </c>
      <c r="W35" s="8">
        <f t="shared" ca="1" si="19"/>
        <v>0</v>
      </c>
      <c r="X35" s="8">
        <f t="shared" ca="1" si="20"/>
        <v>0</v>
      </c>
      <c r="Y35" s="8"/>
      <c r="Z35" s="8"/>
      <c r="AA35" s="8"/>
      <c r="AB35" s="8"/>
      <c r="AC35" s="8"/>
      <c r="AD35" s="8"/>
      <c r="AE35" s="8"/>
      <c r="AF35" s="8"/>
    </row>
    <row r="36" spans="1:32" ht="15" x14ac:dyDescent="0.3">
      <c r="A36" s="6">
        <v>35</v>
      </c>
      <c r="B36" s="6">
        <f t="shared" ca="1" si="28"/>
        <v>5.8337281099893659</v>
      </c>
      <c r="C36" s="9">
        <f t="shared" ca="1" si="29"/>
        <v>122.99426726282421</v>
      </c>
      <c r="D36" s="6">
        <f t="shared" ca="1" si="21"/>
        <v>0.63394393908402003</v>
      </c>
      <c r="E36" s="6" t="str">
        <f ca="1">LOOKUP(RAND(),{0,0.4,0.7,0.9},{"DEPOSIT","WITHDRAWAL","INQUIRY","LOAN"})</f>
        <v>DEPOSIT</v>
      </c>
      <c r="F36" s="6" t="str">
        <f t="shared" ca="1" si="30"/>
        <v>t1</v>
      </c>
      <c r="G36" s="6">
        <f t="shared" ca="1" si="22"/>
        <v>2.2789737630612725</v>
      </c>
      <c r="H36" s="6">
        <f t="shared" ca="1" si="31"/>
        <v>125.27324102588548</v>
      </c>
      <c r="I36" s="6">
        <f t="shared" ca="1" si="32"/>
        <v>96.658506054933156</v>
      </c>
      <c r="J36" s="6">
        <f t="shared" ca="1" si="33"/>
        <v>99.093322462520433</v>
      </c>
      <c r="K36" s="9">
        <f t="shared" ca="1" si="34"/>
        <v>96.197938204194998</v>
      </c>
      <c r="L36" s="9">
        <f t="shared" ca="1" si="35"/>
        <v>122.99426726282421</v>
      </c>
      <c r="M36" s="6">
        <f t="shared" ca="1" si="23"/>
        <v>125.27324102588548</v>
      </c>
      <c r="N36" s="6">
        <f t="shared" ca="1" si="36"/>
        <v>0</v>
      </c>
      <c r="O36" s="6">
        <f t="shared" ca="1" si="4"/>
        <v>0</v>
      </c>
      <c r="P36" s="6">
        <f ca="1">COUNTIFS($C$2:C35,"&lt;="&amp;C36,$M$2:M35,"&gt;"&amp;C36)</f>
        <v>0</v>
      </c>
      <c r="Q36" s="9">
        <f t="shared" ca="1" si="24"/>
        <v>0</v>
      </c>
      <c r="R36" s="9">
        <f t="shared" ca="1" si="25"/>
        <v>26.335761207891053</v>
      </c>
      <c r="S36" s="9">
        <f t="shared" ca="1" si="26"/>
        <v>23.900944800303776</v>
      </c>
      <c r="T36" s="6">
        <f t="shared" ca="1" si="27"/>
        <v>26.796329058629212</v>
      </c>
      <c r="U36" s="6">
        <f t="shared" ca="1" si="17"/>
        <v>2.2789737630612725</v>
      </c>
      <c r="V36" s="8">
        <f t="shared" ca="1" si="18"/>
        <v>0</v>
      </c>
      <c r="W36" s="8">
        <f t="shared" ca="1" si="19"/>
        <v>0</v>
      </c>
      <c r="X36" s="8">
        <f t="shared" ca="1" si="20"/>
        <v>0</v>
      </c>
      <c r="Y36" s="8"/>
      <c r="Z36" s="8"/>
      <c r="AA36" s="8"/>
      <c r="AB36" s="8"/>
      <c r="AC36" s="8"/>
      <c r="AD36" s="8"/>
      <c r="AE36" s="8"/>
      <c r="AF36" s="8"/>
    </row>
    <row r="37" spans="1:32" ht="15" x14ac:dyDescent="0.3">
      <c r="A37" s="6">
        <v>36</v>
      </c>
      <c r="B37" s="6">
        <f t="shared" ca="1" si="28"/>
        <v>2.3416574528711145</v>
      </c>
      <c r="C37" s="9">
        <f t="shared" ca="1" si="29"/>
        <v>125.33592471569533</v>
      </c>
      <c r="D37" s="6">
        <f t="shared" ca="1" si="21"/>
        <v>0.18551612652556415</v>
      </c>
      <c r="E37" s="6" t="str">
        <f ca="1">LOOKUP(RAND(),{0,0.4,0.7,0.9},{"DEPOSIT","WITHDRAWAL","INQUIRY","LOAN"})</f>
        <v>DEPOSIT</v>
      </c>
      <c r="F37" s="6" t="str">
        <f t="shared" ca="1" si="30"/>
        <v>t1</v>
      </c>
      <c r="G37" s="6">
        <f t="shared" ca="1" si="22"/>
        <v>8.4230673263276454</v>
      </c>
      <c r="H37" s="6">
        <f t="shared" ca="1" si="31"/>
        <v>133.75899204202298</v>
      </c>
      <c r="I37" s="6">
        <f t="shared" ca="1" si="32"/>
        <v>96.658506054933156</v>
      </c>
      <c r="J37" s="6">
        <f t="shared" ca="1" si="33"/>
        <v>99.093322462520433</v>
      </c>
      <c r="K37" s="9">
        <f t="shared" ca="1" si="34"/>
        <v>96.197938204194998</v>
      </c>
      <c r="L37" s="9">
        <f t="shared" ca="1" si="35"/>
        <v>125.33592471569533</v>
      </c>
      <c r="M37" s="6">
        <f t="shared" ca="1" si="23"/>
        <v>133.75899204202298</v>
      </c>
      <c r="N37" s="6">
        <f t="shared" ca="1" si="36"/>
        <v>0</v>
      </c>
      <c r="O37" s="6">
        <f t="shared" ca="1" si="4"/>
        <v>0</v>
      </c>
      <c r="P37" s="6">
        <f ca="1">COUNTIFS($C$2:C36,"&lt;="&amp;C37,$M$2:M36,"&gt;"&amp;C37)</f>
        <v>0</v>
      </c>
      <c r="Q37" s="9">
        <f t="shared" ca="1" si="24"/>
        <v>0</v>
      </c>
      <c r="R37" s="9">
        <f t="shared" ca="1" si="25"/>
        <v>28.677418660762171</v>
      </c>
      <c r="S37" s="9">
        <f t="shared" ca="1" si="26"/>
        <v>26.242602253174894</v>
      </c>
      <c r="T37" s="6">
        <f t="shared" ca="1" si="27"/>
        <v>29.13798651150033</v>
      </c>
      <c r="U37" s="6">
        <f t="shared" ca="1" si="17"/>
        <v>8.4230673263276454</v>
      </c>
      <c r="V37" s="8">
        <f t="shared" ca="1" si="18"/>
        <v>0</v>
      </c>
      <c r="W37" s="8">
        <f t="shared" ca="1" si="19"/>
        <v>0</v>
      </c>
      <c r="X37" s="8">
        <f t="shared" ca="1" si="20"/>
        <v>0</v>
      </c>
      <c r="Y37" s="8"/>
      <c r="Z37" s="8"/>
      <c r="AA37" s="8"/>
      <c r="AB37" s="8"/>
      <c r="AC37" s="8"/>
      <c r="AD37" s="8"/>
      <c r="AE37" s="8"/>
      <c r="AF37" s="8"/>
    </row>
    <row r="38" spans="1:32" ht="15" x14ac:dyDescent="0.3">
      <c r="A38" s="6">
        <v>37</v>
      </c>
      <c r="B38" s="6">
        <f t="shared" ca="1" si="28"/>
        <v>0.65429421065642646</v>
      </c>
      <c r="C38" s="9">
        <f t="shared" ca="1" si="29"/>
        <v>125.99021892635176</v>
      </c>
      <c r="D38" s="6">
        <f t="shared" ca="1" si="21"/>
        <v>0.28597391804585304</v>
      </c>
      <c r="E38" s="6" t="str">
        <f ca="1">LOOKUP(RAND(),{0,0.4,0.7,0.9},{"DEPOSIT","WITHDRAWAL","INQUIRY","LOAN"})</f>
        <v>LOAN</v>
      </c>
      <c r="F38" s="6" t="str">
        <f t="shared" ca="1" si="30"/>
        <v>t4</v>
      </c>
      <c r="G38" s="6">
        <f t="shared" ca="1" si="22"/>
        <v>15.022256015576765</v>
      </c>
      <c r="H38" s="6">
        <f t="shared" ca="1" si="31"/>
        <v>133.75899204202298</v>
      </c>
      <c r="I38" s="6">
        <f t="shared" ca="1" si="32"/>
        <v>96.658506054933156</v>
      </c>
      <c r="J38" s="6">
        <f t="shared" ca="1" si="33"/>
        <v>99.093322462520433</v>
      </c>
      <c r="K38" s="9">
        <f t="shared" ca="1" si="34"/>
        <v>141.01247494192853</v>
      </c>
      <c r="L38" s="9">
        <f t="shared" ca="1" si="35"/>
        <v>125.99021892635176</v>
      </c>
      <c r="M38" s="6">
        <f t="shared" ca="1" si="23"/>
        <v>141.01247494192853</v>
      </c>
      <c r="N38" s="6">
        <f t="shared" ca="1" si="36"/>
        <v>0</v>
      </c>
      <c r="O38" s="6">
        <f t="shared" ca="1" si="4"/>
        <v>0</v>
      </c>
      <c r="P38" s="6">
        <f ca="1">COUNTIFS($C$2:C37,"&lt;="&amp;C38,$M$2:M37,"&gt;"&amp;C38)</f>
        <v>1</v>
      </c>
      <c r="Q38" s="9">
        <f t="shared" ca="1" si="24"/>
        <v>0</v>
      </c>
      <c r="R38" s="9">
        <f t="shared" ca="1" si="25"/>
        <v>29.331712871418603</v>
      </c>
      <c r="S38" s="9">
        <f t="shared" ca="1" si="26"/>
        <v>26.896896463831325</v>
      </c>
      <c r="T38" s="6">
        <f t="shared" ca="1" si="27"/>
        <v>0</v>
      </c>
      <c r="U38" s="6">
        <f t="shared" ca="1" si="17"/>
        <v>0</v>
      </c>
      <c r="V38" s="8">
        <f t="shared" ca="1" si="18"/>
        <v>0</v>
      </c>
      <c r="W38" s="8">
        <f t="shared" ca="1" si="19"/>
        <v>0</v>
      </c>
      <c r="X38" s="8">
        <f t="shared" ca="1" si="20"/>
        <v>15.022256015576765</v>
      </c>
      <c r="Y38" s="8"/>
      <c r="Z38" s="8"/>
      <c r="AA38" s="8"/>
      <c r="AB38" s="8"/>
      <c r="AC38" s="8"/>
      <c r="AD38" s="8"/>
      <c r="AE38" s="8"/>
      <c r="AF38" s="8"/>
    </row>
    <row r="39" spans="1:32" ht="15" x14ac:dyDescent="0.3">
      <c r="A39" s="6">
        <v>38</v>
      </c>
      <c r="B39" s="6">
        <f t="shared" ca="1" si="28"/>
        <v>0.4908529341061762</v>
      </c>
      <c r="C39" s="9">
        <f t="shared" ca="1" si="29"/>
        <v>126.48107186045793</v>
      </c>
      <c r="D39" s="6">
        <f t="shared" ca="1" si="21"/>
        <v>0.21151894492059897</v>
      </c>
      <c r="E39" s="6" t="str">
        <f ca="1">LOOKUP(RAND(),{0,0.4,0.7,0.9},{"DEPOSIT","WITHDRAWAL","INQUIRY","LOAN"})</f>
        <v>LOAN</v>
      </c>
      <c r="F39" s="6" t="str">
        <f t="shared" ca="1" si="30"/>
        <v>t2</v>
      </c>
      <c r="G39" s="6">
        <f t="shared" ca="1" si="22"/>
        <v>18.641288524975888</v>
      </c>
      <c r="H39" s="6">
        <f t="shared" ca="1" si="31"/>
        <v>133.75899204202298</v>
      </c>
      <c r="I39" s="6">
        <f t="shared" ca="1" si="32"/>
        <v>145.12236038543381</v>
      </c>
      <c r="J39" s="6">
        <f t="shared" ca="1" si="33"/>
        <v>99.093322462520433</v>
      </c>
      <c r="K39" s="9">
        <f t="shared" ca="1" si="34"/>
        <v>141.01247494192853</v>
      </c>
      <c r="L39" s="9">
        <f t="shared" ca="1" si="35"/>
        <v>126.48107186045793</v>
      </c>
      <c r="M39" s="6">
        <f t="shared" ca="1" si="23"/>
        <v>145.12236038543381</v>
      </c>
      <c r="N39" s="6">
        <f t="shared" ca="1" si="36"/>
        <v>0</v>
      </c>
      <c r="O39" s="6">
        <f t="shared" ca="1" si="4"/>
        <v>0</v>
      </c>
      <c r="P39" s="6">
        <f ca="1">COUNTIFS($C$2:C38,"&lt;="&amp;C39,$M$2:M38,"&gt;"&amp;C39)</f>
        <v>2</v>
      </c>
      <c r="Q39" s="9">
        <f t="shared" ca="1" si="24"/>
        <v>0</v>
      </c>
      <c r="R39" s="9">
        <f t="shared" ca="1" si="25"/>
        <v>0</v>
      </c>
      <c r="S39" s="9">
        <f t="shared" ca="1" si="26"/>
        <v>27.387749397937498</v>
      </c>
      <c r="T39" s="6">
        <f t="shared" ca="1" si="27"/>
        <v>0</v>
      </c>
      <c r="U39" s="6">
        <f t="shared" ca="1" si="17"/>
        <v>0</v>
      </c>
      <c r="V39" s="8">
        <f t="shared" ca="1" si="18"/>
        <v>18.641288524975888</v>
      </c>
      <c r="W39" s="8">
        <f t="shared" ca="1" si="19"/>
        <v>0</v>
      </c>
      <c r="X39" s="8">
        <f t="shared" ca="1" si="20"/>
        <v>0</v>
      </c>
      <c r="Y39" s="8"/>
      <c r="Z39" s="8"/>
      <c r="AA39" s="8"/>
      <c r="AB39" s="8"/>
      <c r="AC39" s="8"/>
      <c r="AD39" s="8"/>
      <c r="AE39" s="8"/>
      <c r="AF39" s="8"/>
    </row>
    <row r="40" spans="1:32" ht="15" x14ac:dyDescent="0.3">
      <c r="A40" s="6">
        <v>39</v>
      </c>
      <c r="B40" s="6">
        <f t="shared" ca="1" si="28"/>
        <v>2.8142199074946714</v>
      </c>
      <c r="C40" s="9">
        <f t="shared" ca="1" si="29"/>
        <v>129.29529176795259</v>
      </c>
      <c r="D40" s="6">
        <f t="shared" ca="1" si="21"/>
        <v>0.5203241060929249</v>
      </c>
      <c r="E40" s="6" t="str">
        <f ca="1">LOOKUP(RAND(),{0,0.4,0.7,0.9},{"DEPOSIT","WITHDRAWAL","INQUIRY","LOAN"})</f>
        <v>DEPOSIT</v>
      </c>
      <c r="F40" s="6" t="str">
        <f t="shared" ca="1" si="30"/>
        <v>t3</v>
      </c>
      <c r="G40" s="6">
        <f t="shared" ca="1" si="22"/>
        <v>3.2665169030881436</v>
      </c>
      <c r="H40" s="6">
        <f t="shared" ca="1" si="31"/>
        <v>133.75899204202298</v>
      </c>
      <c r="I40" s="6">
        <f t="shared" ca="1" si="32"/>
        <v>145.12236038543381</v>
      </c>
      <c r="J40" s="6">
        <f t="shared" ca="1" si="33"/>
        <v>132.56180867104072</v>
      </c>
      <c r="K40" s="9">
        <f t="shared" ca="1" si="34"/>
        <v>141.01247494192853</v>
      </c>
      <c r="L40" s="9">
        <f t="shared" ca="1" si="35"/>
        <v>129.29529176795259</v>
      </c>
      <c r="M40" s="6">
        <f t="shared" ca="1" si="23"/>
        <v>132.56180867104072</v>
      </c>
      <c r="N40" s="6">
        <f t="shared" ca="1" si="36"/>
        <v>0</v>
      </c>
      <c r="O40" s="6">
        <f t="shared" ca="1" si="4"/>
        <v>0</v>
      </c>
      <c r="P40" s="6">
        <f ca="1">COUNTIFS($C$2:C39,"&lt;="&amp;C40,$M$2:M39,"&gt;"&amp;C40)</f>
        <v>3</v>
      </c>
      <c r="Q40" s="9">
        <f t="shared" ca="1" si="24"/>
        <v>0</v>
      </c>
      <c r="R40" s="9">
        <f t="shared" ca="1" si="25"/>
        <v>0</v>
      </c>
      <c r="S40" s="9">
        <f t="shared" ca="1" si="26"/>
        <v>0</v>
      </c>
      <c r="T40" s="6">
        <f t="shared" ca="1" si="27"/>
        <v>0</v>
      </c>
      <c r="U40" s="6">
        <f t="shared" ca="1" si="17"/>
        <v>0</v>
      </c>
      <c r="V40" s="8">
        <f t="shared" ca="1" si="18"/>
        <v>0</v>
      </c>
      <c r="W40" s="8">
        <f t="shared" ca="1" si="19"/>
        <v>3.2665169030881436</v>
      </c>
      <c r="X40" s="8">
        <f t="shared" ca="1" si="20"/>
        <v>0</v>
      </c>
      <c r="Y40" s="8"/>
      <c r="Z40" s="8"/>
      <c r="AA40" s="8"/>
      <c r="AB40" s="8"/>
      <c r="AC40" s="8"/>
      <c r="AD40" s="8"/>
      <c r="AE40" s="8"/>
      <c r="AF40" s="8"/>
    </row>
    <row r="41" spans="1:32" ht="15" x14ac:dyDescent="0.3">
      <c r="A41" s="6">
        <v>40</v>
      </c>
      <c r="B41" s="6">
        <f t="shared" ca="1" si="28"/>
        <v>1.946179910008317</v>
      </c>
      <c r="C41" s="9">
        <f t="shared" ca="1" si="29"/>
        <v>131.2414716779609</v>
      </c>
      <c r="D41" s="6">
        <f t="shared" ca="1" si="21"/>
        <v>0.72445768565290725</v>
      </c>
      <c r="E41" s="6" t="str">
        <f ca="1">LOOKUP(RAND(),{0,0.4,0.7,0.9},{"DEPOSIT","WITHDRAWAL","INQUIRY","LOAN"})</f>
        <v>DEPOSIT</v>
      </c>
      <c r="F41" s="6" t="str">
        <f t="shared" ca="1" si="30"/>
        <v>t3</v>
      </c>
      <c r="G41" s="6">
        <f t="shared" ca="1" si="22"/>
        <v>1.6116596191147528</v>
      </c>
      <c r="H41" s="6">
        <f t="shared" ca="1" si="31"/>
        <v>133.75899204202298</v>
      </c>
      <c r="I41" s="6">
        <f t="shared" ca="1" si="32"/>
        <v>145.12236038543381</v>
      </c>
      <c r="J41" s="6">
        <f t="shared" ca="1" si="33"/>
        <v>134.17346829015548</v>
      </c>
      <c r="K41" s="9">
        <f t="shared" ca="1" si="34"/>
        <v>141.01247494192853</v>
      </c>
      <c r="L41" s="9">
        <f t="shared" ca="1" si="35"/>
        <v>132.56180867104072</v>
      </c>
      <c r="M41" s="6">
        <f t="shared" ca="1" si="23"/>
        <v>134.17346829015548</v>
      </c>
      <c r="N41" s="6">
        <f t="shared" ca="1" si="36"/>
        <v>1.3203369930798203</v>
      </c>
      <c r="O41" s="6">
        <f t="shared" ca="1" si="4"/>
        <v>1</v>
      </c>
      <c r="P41" s="6">
        <f ca="1">COUNTIFS($C$2:C40,"&lt;="&amp;C41,$M$2:M40,"&gt;"&amp;C41)</f>
        <v>4</v>
      </c>
      <c r="Q41" s="9">
        <f t="shared" ca="1" si="24"/>
        <v>0</v>
      </c>
      <c r="R41" s="9">
        <f t="shared" ca="1" si="25"/>
        <v>0</v>
      </c>
      <c r="S41" s="9">
        <f t="shared" ca="1" si="26"/>
        <v>0</v>
      </c>
      <c r="T41" s="6">
        <f t="shared" ca="1" si="27"/>
        <v>0</v>
      </c>
      <c r="U41" s="6">
        <f t="shared" ca="1" si="17"/>
        <v>0</v>
      </c>
      <c r="V41" s="8">
        <f t="shared" ca="1" si="18"/>
        <v>0</v>
      </c>
      <c r="W41" s="8">
        <f t="shared" ca="1" si="19"/>
        <v>1.6116596191147528</v>
      </c>
      <c r="X41" s="8">
        <f t="shared" ca="1" si="20"/>
        <v>0</v>
      </c>
      <c r="Y41" s="8"/>
      <c r="Z41" s="8"/>
      <c r="AA41" s="8"/>
      <c r="AB41" s="8"/>
      <c r="AC41" s="8"/>
      <c r="AD41" s="8"/>
      <c r="AE41" s="8"/>
      <c r="AF41" s="8"/>
    </row>
    <row r="42" spans="1:32" ht="15" x14ac:dyDescent="0.3">
      <c r="A42" s="6">
        <v>41</v>
      </c>
      <c r="B42" s="6">
        <f t="shared" ca="1" si="28"/>
        <v>1.6838406347893096</v>
      </c>
      <c r="C42" s="9">
        <f t="shared" ca="1" si="29"/>
        <v>132.92531231275021</v>
      </c>
      <c r="D42" s="6">
        <f t="shared" ca="1" si="21"/>
        <v>0.24275539241607125</v>
      </c>
      <c r="E42" s="6" t="str">
        <f ca="1">LOOKUP(RAND(),{0,0.4,0.7,0.9},{"DEPOSIT","WITHDRAWAL","INQUIRY","LOAN"})</f>
        <v>DEPOSIT</v>
      </c>
      <c r="F42" s="6" t="str">
        <f t="shared" ca="1" si="30"/>
        <v>t1</v>
      </c>
      <c r="G42" s="6">
        <f t="shared" ca="1" si="22"/>
        <v>7.0785047909550798</v>
      </c>
      <c r="H42" s="6">
        <f t="shared" ca="1" si="31"/>
        <v>140.83749683297805</v>
      </c>
      <c r="I42" s="6">
        <f t="shared" ca="1" si="32"/>
        <v>145.12236038543381</v>
      </c>
      <c r="J42" s="6">
        <f t="shared" ca="1" si="33"/>
        <v>134.17346829015548</v>
      </c>
      <c r="K42" s="9">
        <f t="shared" ca="1" si="34"/>
        <v>141.01247494192853</v>
      </c>
      <c r="L42" s="9">
        <f t="shared" ca="1" si="35"/>
        <v>133.75899204202298</v>
      </c>
      <c r="M42" s="6">
        <f t="shared" ca="1" si="23"/>
        <v>140.83749683297805</v>
      </c>
      <c r="N42" s="6">
        <f t="shared" ca="1" si="36"/>
        <v>0.83367972927277378</v>
      </c>
      <c r="O42" s="6">
        <f t="shared" ca="1" si="4"/>
        <v>1</v>
      </c>
      <c r="P42" s="6">
        <f ca="1">COUNTIFS($C$2:C41,"&lt;="&amp;C42,$M$2:M41,"&gt;"&amp;C42)</f>
        <v>4</v>
      </c>
      <c r="Q42" s="9">
        <f t="shared" ca="1" si="24"/>
        <v>0</v>
      </c>
      <c r="R42" s="9">
        <f t="shared" ca="1" si="25"/>
        <v>0</v>
      </c>
      <c r="S42" s="9">
        <f t="shared" ca="1" si="26"/>
        <v>0</v>
      </c>
      <c r="T42" s="6">
        <f t="shared" ca="1" si="27"/>
        <v>0</v>
      </c>
      <c r="U42" s="6">
        <f t="shared" ca="1" si="17"/>
        <v>7.0785047909550798</v>
      </c>
      <c r="V42" s="8">
        <f t="shared" ca="1" si="18"/>
        <v>0</v>
      </c>
      <c r="W42" s="8">
        <f t="shared" ca="1" si="19"/>
        <v>0</v>
      </c>
      <c r="X42" s="8">
        <f t="shared" ca="1" si="20"/>
        <v>0</v>
      </c>
      <c r="Y42" s="8"/>
      <c r="Z42" s="8"/>
      <c r="AA42" s="8"/>
      <c r="AB42" s="8"/>
      <c r="AC42" s="8"/>
      <c r="AD42" s="8"/>
      <c r="AE42" s="8"/>
      <c r="AF42" s="8"/>
    </row>
    <row r="43" spans="1:32" ht="15" x14ac:dyDescent="0.3">
      <c r="A43" s="6">
        <v>42</v>
      </c>
      <c r="B43" s="6">
        <f t="shared" ca="1" si="28"/>
        <v>1.5944314208338755</v>
      </c>
      <c r="C43" s="9">
        <f t="shared" ca="1" si="29"/>
        <v>134.51974373358408</v>
      </c>
      <c r="D43" s="6">
        <f t="shared" ca="1" si="21"/>
        <v>0.82057936581371516</v>
      </c>
      <c r="E43" s="6" t="str">
        <f ca="1">LOOKUP(RAND(),{0,0.4,0.7,0.9},{"DEPOSIT","WITHDRAWAL","INQUIRY","LOAN"})</f>
        <v>DEPOSIT</v>
      </c>
      <c r="F43" s="6" t="str">
        <f t="shared" ca="1" si="30"/>
        <v>t3</v>
      </c>
      <c r="G43" s="6">
        <f t="shared" ca="1" si="22"/>
        <v>1</v>
      </c>
      <c r="H43" s="6">
        <f t="shared" ca="1" si="31"/>
        <v>140.83749683297805</v>
      </c>
      <c r="I43" s="6">
        <f t="shared" ca="1" si="32"/>
        <v>145.12236038543381</v>
      </c>
      <c r="J43" s="6">
        <f t="shared" ca="1" si="33"/>
        <v>135.51974373358408</v>
      </c>
      <c r="K43" s="9">
        <f t="shared" ca="1" si="34"/>
        <v>141.01247494192853</v>
      </c>
      <c r="L43" s="9">
        <f t="shared" ca="1" si="35"/>
        <v>134.51974373358408</v>
      </c>
      <c r="M43" s="6">
        <f t="shared" ca="1" si="23"/>
        <v>135.51974373358408</v>
      </c>
      <c r="N43" s="6">
        <f t="shared" ca="1" si="36"/>
        <v>0</v>
      </c>
      <c r="O43" s="6">
        <f t="shared" ca="1" si="4"/>
        <v>0</v>
      </c>
      <c r="P43" s="6">
        <f ca="1">COUNTIFS($C$2:C42,"&lt;="&amp;C43,$M$2:M42,"&gt;"&amp;C43)</f>
        <v>3</v>
      </c>
      <c r="Q43" s="9">
        <f t="shared" ca="1" si="24"/>
        <v>0</v>
      </c>
      <c r="R43" s="9">
        <f t="shared" ca="1" si="25"/>
        <v>0</v>
      </c>
      <c r="S43" s="9">
        <f t="shared" ca="1" si="26"/>
        <v>0</v>
      </c>
      <c r="T43" s="6">
        <f t="shared" ca="1" si="27"/>
        <v>0</v>
      </c>
      <c r="U43" s="6">
        <f t="shared" ca="1" si="17"/>
        <v>0</v>
      </c>
      <c r="V43" s="8">
        <f t="shared" ca="1" si="18"/>
        <v>0</v>
      </c>
      <c r="W43" s="8">
        <f t="shared" ca="1" si="19"/>
        <v>1</v>
      </c>
      <c r="X43" s="8">
        <f t="shared" ca="1" si="20"/>
        <v>0</v>
      </c>
      <c r="Y43" s="8"/>
      <c r="Z43" s="8"/>
      <c r="AA43" s="8"/>
      <c r="AB43" s="8"/>
      <c r="AC43" s="8"/>
      <c r="AD43" s="8"/>
      <c r="AE43" s="8"/>
      <c r="AF43" s="8"/>
    </row>
    <row r="44" spans="1:32" ht="15" x14ac:dyDescent="0.3">
      <c r="A44" s="6">
        <v>43</v>
      </c>
      <c r="B44" s="6">
        <f t="shared" ca="1" si="28"/>
        <v>9.1422252397389183</v>
      </c>
      <c r="C44" s="9">
        <f t="shared" ca="1" si="29"/>
        <v>143.66196897332298</v>
      </c>
      <c r="D44" s="6">
        <f t="shared" ca="1" si="21"/>
        <v>1.1842279881814632E-2</v>
      </c>
      <c r="E44" s="6" t="str">
        <f ca="1">LOOKUP(RAND(),{0,0.4,0.7,0.9},{"DEPOSIT","WITHDRAWAL","INQUIRY","LOAN"})</f>
        <v>WITHDRAWAL</v>
      </c>
      <c r="F44" s="6" t="str">
        <f t="shared" ca="1" si="30"/>
        <v>t3</v>
      </c>
      <c r="G44" s="6">
        <f t="shared" ca="1" si="22"/>
        <v>26.616474662864483</v>
      </c>
      <c r="H44" s="6">
        <f t="shared" ca="1" si="31"/>
        <v>140.83749683297805</v>
      </c>
      <c r="I44" s="6">
        <f t="shared" ca="1" si="32"/>
        <v>145.12236038543381</v>
      </c>
      <c r="J44" s="6">
        <f t="shared" ca="1" si="33"/>
        <v>170.27844363618746</v>
      </c>
      <c r="K44" s="9">
        <f t="shared" ca="1" si="34"/>
        <v>141.01247494192853</v>
      </c>
      <c r="L44" s="9">
        <f t="shared" ca="1" si="35"/>
        <v>143.66196897332298</v>
      </c>
      <c r="M44" s="6">
        <f t="shared" ca="1" si="23"/>
        <v>170.27844363618746</v>
      </c>
      <c r="N44" s="6">
        <f t="shared" ca="1" si="36"/>
        <v>0</v>
      </c>
      <c r="O44" s="6">
        <f t="shared" ca="1" si="4"/>
        <v>0</v>
      </c>
      <c r="P44" s="6">
        <f ca="1">COUNTIFS($C$2:C43,"&lt;="&amp;C44,$M$2:M43,"&gt;"&amp;C44)</f>
        <v>1</v>
      </c>
      <c r="Q44" s="9">
        <f t="shared" ca="1" si="24"/>
        <v>2.8244721403449375</v>
      </c>
      <c r="R44" s="9">
        <f t="shared" ca="1" si="25"/>
        <v>0</v>
      </c>
      <c r="S44" s="9">
        <f t="shared" ca="1" si="26"/>
        <v>0</v>
      </c>
      <c r="T44" s="6">
        <f t="shared" ca="1" si="27"/>
        <v>2.6494940313944539</v>
      </c>
      <c r="U44" s="6">
        <f t="shared" ca="1" si="17"/>
        <v>0</v>
      </c>
      <c r="V44" s="8">
        <f t="shared" ca="1" si="18"/>
        <v>0</v>
      </c>
      <c r="W44" s="8">
        <f t="shared" ca="1" si="19"/>
        <v>26.616474662864483</v>
      </c>
      <c r="X44" s="8">
        <f t="shared" ca="1" si="20"/>
        <v>0</v>
      </c>
      <c r="Y44" s="8"/>
      <c r="Z44" s="8"/>
      <c r="AA44" s="8"/>
      <c r="AB44" s="8"/>
      <c r="AC44" s="8"/>
      <c r="AD44" s="8"/>
      <c r="AE44" s="8"/>
      <c r="AF44" s="8"/>
    </row>
    <row r="45" spans="1:32" ht="15" x14ac:dyDescent="0.3">
      <c r="A45" s="6">
        <v>44</v>
      </c>
      <c r="B45" s="6">
        <f t="shared" ca="1" si="28"/>
        <v>0.405661063991131</v>
      </c>
      <c r="C45" s="9">
        <f t="shared" ca="1" si="29"/>
        <v>144.0676300373141</v>
      </c>
      <c r="D45" s="6">
        <f t="shared" ca="1" si="21"/>
        <v>0.59123811983089469</v>
      </c>
      <c r="E45" s="6" t="str">
        <f ca="1">LOOKUP(RAND(),{0,0.4,0.7,0.9},{"DEPOSIT","WITHDRAWAL","INQUIRY","LOAN"})</f>
        <v>WITHDRAWAL</v>
      </c>
      <c r="F45" s="6" t="str">
        <f t="shared" ca="1" si="30"/>
        <v>t1</v>
      </c>
      <c r="G45" s="6">
        <f t="shared" ca="1" si="22"/>
        <v>3.1532185961228194</v>
      </c>
      <c r="H45" s="6">
        <f t="shared" ca="1" si="31"/>
        <v>147.22084863343693</v>
      </c>
      <c r="I45" s="6">
        <f t="shared" ca="1" si="32"/>
        <v>145.12236038543381</v>
      </c>
      <c r="J45" s="6">
        <f t="shared" ca="1" si="33"/>
        <v>170.27844363618746</v>
      </c>
      <c r="K45" s="9">
        <f t="shared" ca="1" si="34"/>
        <v>141.01247494192853</v>
      </c>
      <c r="L45" s="9">
        <f t="shared" ca="1" si="35"/>
        <v>144.0676300373141</v>
      </c>
      <c r="M45" s="6">
        <f t="shared" ca="1" si="23"/>
        <v>147.22084863343693</v>
      </c>
      <c r="N45" s="6">
        <f t="shared" ca="1" si="36"/>
        <v>0</v>
      </c>
      <c r="O45" s="6">
        <f t="shared" ca="1" si="4"/>
        <v>0</v>
      </c>
      <c r="P45" s="6">
        <f ca="1">COUNTIFS($C$2:C44,"&lt;="&amp;C45,$M$2:M44,"&gt;"&amp;C45)</f>
        <v>2</v>
      </c>
      <c r="Q45" s="9">
        <f t="shared" ca="1" si="24"/>
        <v>0</v>
      </c>
      <c r="R45" s="9">
        <f t="shared" ca="1" si="25"/>
        <v>0</v>
      </c>
      <c r="S45" s="9">
        <f t="shared" ca="1" si="26"/>
        <v>0</v>
      </c>
      <c r="T45" s="6">
        <f t="shared" ca="1" si="27"/>
        <v>3.0551550953855724</v>
      </c>
      <c r="U45" s="6">
        <f t="shared" ca="1" si="17"/>
        <v>3.1532185961228194</v>
      </c>
      <c r="V45" s="8">
        <f t="shared" ca="1" si="18"/>
        <v>0</v>
      </c>
      <c r="W45" s="8">
        <f t="shared" ca="1" si="19"/>
        <v>0</v>
      </c>
      <c r="X45" s="8">
        <f t="shared" ca="1" si="20"/>
        <v>0</v>
      </c>
      <c r="Y45" s="8"/>
      <c r="Z45" s="8"/>
      <c r="AA45" s="8"/>
      <c r="AB45" s="8"/>
      <c r="AC45" s="8"/>
      <c r="AD45" s="8"/>
      <c r="AE45" s="8"/>
      <c r="AF45" s="8"/>
    </row>
    <row r="46" spans="1:32" ht="15" x14ac:dyDescent="0.3">
      <c r="A46" s="6">
        <v>45</v>
      </c>
      <c r="B46" s="6">
        <f t="shared" ca="1" si="28"/>
        <v>9.2340525189913372</v>
      </c>
      <c r="C46" s="9">
        <f t="shared" ca="1" si="29"/>
        <v>153.30168255630545</v>
      </c>
      <c r="D46" s="6">
        <f t="shared" ca="1" si="21"/>
        <v>0.37108631712969586</v>
      </c>
      <c r="E46" s="6" t="str">
        <f ca="1">LOOKUP(RAND(),{0,0.4,0.7,0.9},{"DEPOSIT","WITHDRAWAL","INQUIRY","LOAN"})</f>
        <v>DEPOSIT</v>
      </c>
      <c r="F46" s="6" t="str">
        <f t="shared" ca="1" si="30"/>
        <v>t4</v>
      </c>
      <c r="G46" s="6">
        <f t="shared" ca="1" si="22"/>
        <v>4.9566029135453427</v>
      </c>
      <c r="H46" s="6">
        <f t="shared" ca="1" si="31"/>
        <v>147.22084863343693</v>
      </c>
      <c r="I46" s="6">
        <f t="shared" ca="1" si="32"/>
        <v>145.12236038543381</v>
      </c>
      <c r="J46" s="6">
        <f t="shared" ca="1" si="33"/>
        <v>170.27844363618746</v>
      </c>
      <c r="K46" s="9">
        <f t="shared" ca="1" si="34"/>
        <v>158.25828546985079</v>
      </c>
      <c r="L46" s="9">
        <f t="shared" ca="1" si="35"/>
        <v>153.30168255630545</v>
      </c>
      <c r="M46" s="6">
        <f t="shared" ca="1" si="23"/>
        <v>158.25828546985079</v>
      </c>
      <c r="N46" s="6">
        <f t="shared" ca="1" si="36"/>
        <v>0</v>
      </c>
      <c r="O46" s="6">
        <f t="shared" ca="1" si="4"/>
        <v>0</v>
      </c>
      <c r="P46" s="6">
        <f ca="1">COUNTIFS($C$2:C45,"&lt;="&amp;C46,$M$2:M45,"&gt;"&amp;C46)</f>
        <v>1</v>
      </c>
      <c r="Q46" s="9">
        <f t="shared" ca="1" si="24"/>
        <v>6.0808339228685213</v>
      </c>
      <c r="R46" s="9">
        <f t="shared" ca="1" si="25"/>
        <v>8.179322170871643</v>
      </c>
      <c r="S46" s="9">
        <f t="shared" ca="1" si="26"/>
        <v>0</v>
      </c>
      <c r="T46" s="6">
        <f t="shared" ca="1" si="27"/>
        <v>0</v>
      </c>
      <c r="U46" s="6">
        <f t="shared" ca="1" si="17"/>
        <v>0</v>
      </c>
      <c r="V46" s="8">
        <f t="shared" ca="1" si="18"/>
        <v>0</v>
      </c>
      <c r="W46" s="8">
        <f t="shared" ca="1" si="19"/>
        <v>0</v>
      </c>
      <c r="X46" s="8">
        <f t="shared" ca="1" si="20"/>
        <v>4.9566029135453427</v>
      </c>
      <c r="Y46" s="8"/>
      <c r="Z46" s="8"/>
      <c r="AA46" s="8"/>
      <c r="AB46" s="8"/>
      <c r="AC46" s="8"/>
      <c r="AD46" s="8"/>
      <c r="AE46" s="8"/>
      <c r="AF46" s="8"/>
    </row>
    <row r="47" spans="1:32" ht="15" x14ac:dyDescent="0.3">
      <c r="A47" s="6">
        <v>46</v>
      </c>
      <c r="B47" s="6">
        <f t="shared" ca="1" si="28"/>
        <v>1.9943121477875574</v>
      </c>
      <c r="C47" s="9">
        <f t="shared" ca="1" si="29"/>
        <v>155.295994704093</v>
      </c>
      <c r="D47" s="6">
        <f t="shared" ca="1" si="21"/>
        <v>0.88022089085331645</v>
      </c>
      <c r="E47" s="6" t="str">
        <f ca="1">LOOKUP(RAND(),{0,0.4,0.7,0.9},{"DEPOSIT","WITHDRAWAL","INQUIRY","LOAN"})</f>
        <v>WITHDRAWAL</v>
      </c>
      <c r="F47" s="6" t="str">
        <f t="shared" ca="1" si="30"/>
        <v>t2</v>
      </c>
      <c r="G47" s="6">
        <f t="shared" ca="1" si="22"/>
        <v>1</v>
      </c>
      <c r="H47" s="6">
        <f t="shared" ca="1" si="31"/>
        <v>147.22084863343693</v>
      </c>
      <c r="I47" s="6">
        <f t="shared" ca="1" si="32"/>
        <v>156.295994704093</v>
      </c>
      <c r="J47" s="6">
        <f t="shared" ca="1" si="33"/>
        <v>170.27844363618746</v>
      </c>
      <c r="K47" s="9">
        <f t="shared" ca="1" si="34"/>
        <v>158.25828546985079</v>
      </c>
      <c r="L47" s="9">
        <f t="shared" ca="1" si="35"/>
        <v>155.295994704093</v>
      </c>
      <c r="M47" s="6">
        <f t="shared" ca="1" si="23"/>
        <v>156.295994704093</v>
      </c>
      <c r="N47" s="6">
        <f t="shared" ca="1" si="36"/>
        <v>0</v>
      </c>
      <c r="O47" s="6">
        <f t="shared" ca="1" si="4"/>
        <v>0</v>
      </c>
      <c r="P47" s="6">
        <f ca="1">COUNTIFS($C$2:C46,"&lt;="&amp;C47,$M$2:M46,"&gt;"&amp;C47)</f>
        <v>2</v>
      </c>
      <c r="Q47" s="9">
        <f t="shared" ca="1" si="24"/>
        <v>8.0751460706560749</v>
      </c>
      <c r="R47" s="9">
        <f t="shared" ca="1" si="25"/>
        <v>0</v>
      </c>
      <c r="S47" s="9">
        <f t="shared" ca="1" si="26"/>
        <v>0</v>
      </c>
      <c r="T47" s="6">
        <f t="shared" ca="1" si="27"/>
        <v>0</v>
      </c>
      <c r="U47" s="6">
        <f t="shared" ca="1" si="17"/>
        <v>0</v>
      </c>
      <c r="V47" s="8">
        <f t="shared" ca="1" si="18"/>
        <v>1</v>
      </c>
      <c r="W47" s="8">
        <f t="shared" ca="1" si="19"/>
        <v>0</v>
      </c>
      <c r="X47" s="8">
        <f t="shared" ca="1" si="20"/>
        <v>0</v>
      </c>
      <c r="Y47" s="8"/>
      <c r="Z47" s="8"/>
      <c r="AA47" s="8"/>
      <c r="AB47" s="8"/>
      <c r="AC47" s="8"/>
      <c r="AD47" s="8"/>
      <c r="AE47" s="8"/>
      <c r="AF47" s="8"/>
    </row>
    <row r="48" spans="1:32" ht="15" x14ac:dyDescent="0.3">
      <c r="A48" s="6">
        <v>47</v>
      </c>
      <c r="B48" s="6">
        <f t="shared" ca="1" si="28"/>
        <v>1.1588529349968701</v>
      </c>
      <c r="C48" s="9">
        <f t="shared" ca="1" si="29"/>
        <v>156.45484763908988</v>
      </c>
      <c r="D48" s="6">
        <f t="shared" ca="1" si="21"/>
        <v>0.34546801060314769</v>
      </c>
      <c r="E48" s="6" t="str">
        <f ca="1">LOOKUP(RAND(),{0,0.4,0.7,0.9},{"DEPOSIT","WITHDRAWAL","INQUIRY","LOAN"})</f>
        <v>LOAN</v>
      </c>
      <c r="F48" s="6" t="str">
        <f t="shared" ca="1" si="30"/>
        <v>t1</v>
      </c>
      <c r="G48" s="6">
        <f t="shared" ca="1" si="22"/>
        <v>12.754262745166946</v>
      </c>
      <c r="H48" s="6">
        <f t="shared" ca="1" si="31"/>
        <v>169.20911038425683</v>
      </c>
      <c r="I48" s="6">
        <f t="shared" ca="1" si="32"/>
        <v>156.295994704093</v>
      </c>
      <c r="J48" s="6">
        <f t="shared" ca="1" si="33"/>
        <v>170.27844363618746</v>
      </c>
      <c r="K48" s="9">
        <f t="shared" ca="1" si="34"/>
        <v>158.25828546985079</v>
      </c>
      <c r="L48" s="9">
        <f t="shared" ca="1" si="35"/>
        <v>156.45484763908988</v>
      </c>
      <c r="M48" s="6">
        <f t="shared" ca="1" si="23"/>
        <v>169.20911038425683</v>
      </c>
      <c r="N48" s="6">
        <f t="shared" ca="1" si="36"/>
        <v>0</v>
      </c>
      <c r="O48" s="6">
        <f t="shared" ca="1" si="4"/>
        <v>0</v>
      </c>
      <c r="P48" s="6">
        <f ca="1">COUNTIFS($C$2:C47,"&lt;="&amp;C48,$M$2:M47,"&gt;"&amp;C48)</f>
        <v>2</v>
      </c>
      <c r="Q48" s="9">
        <f t="shared" ca="1" si="24"/>
        <v>0</v>
      </c>
      <c r="R48" s="9">
        <f t="shared" ca="1" si="25"/>
        <v>0.15885293499687236</v>
      </c>
      <c r="S48" s="9">
        <f t="shared" ca="1" si="26"/>
        <v>0</v>
      </c>
      <c r="T48" s="6">
        <f t="shared" ca="1" si="27"/>
        <v>0</v>
      </c>
      <c r="U48" s="6">
        <f t="shared" ca="1" si="17"/>
        <v>12.754262745166946</v>
      </c>
      <c r="V48" s="8">
        <f t="shared" ca="1" si="18"/>
        <v>0</v>
      </c>
      <c r="W48" s="8">
        <f t="shared" ca="1" si="19"/>
        <v>0</v>
      </c>
      <c r="X48" s="8">
        <f t="shared" ca="1" si="20"/>
        <v>0</v>
      </c>
      <c r="Y48" s="8"/>
      <c r="Z48" s="8"/>
      <c r="AA48" s="8"/>
      <c r="AB48" s="8"/>
      <c r="AC48" s="8"/>
      <c r="AD48" s="8"/>
      <c r="AE48" s="8"/>
      <c r="AF48" s="8"/>
    </row>
    <row r="49" spans="1:32" ht="15" x14ac:dyDescent="0.3">
      <c r="A49" s="6">
        <v>48</v>
      </c>
      <c r="B49" s="6">
        <f t="shared" ca="1" si="28"/>
        <v>7.2943579797881686</v>
      </c>
      <c r="C49" s="9">
        <f t="shared" ca="1" si="29"/>
        <v>163.74920561887805</v>
      </c>
      <c r="D49" s="6">
        <f t="shared" ca="1" si="21"/>
        <v>0.59366188162476796</v>
      </c>
      <c r="E49" s="6" t="str">
        <f ca="1">LOOKUP(RAND(),{0,0.4,0.7,0.9},{"DEPOSIT","WITHDRAWAL","INQUIRY","LOAN"})</f>
        <v>DEPOSIT</v>
      </c>
      <c r="F49" s="6" t="str">
        <f t="shared" ca="1" si="30"/>
        <v>t2</v>
      </c>
      <c r="G49" s="6">
        <f t="shared" ca="1" si="22"/>
        <v>2.6072267227112595</v>
      </c>
      <c r="H49" s="6">
        <f t="shared" ca="1" si="31"/>
        <v>169.20911038425683</v>
      </c>
      <c r="I49" s="6">
        <f t="shared" ca="1" si="32"/>
        <v>166.35643234158931</v>
      </c>
      <c r="J49" s="6">
        <f t="shared" ca="1" si="33"/>
        <v>170.27844363618746</v>
      </c>
      <c r="K49" s="9">
        <f t="shared" ca="1" si="34"/>
        <v>158.25828546985079</v>
      </c>
      <c r="L49" s="9">
        <f t="shared" ca="1" si="35"/>
        <v>163.74920561887805</v>
      </c>
      <c r="M49" s="6">
        <f t="shared" ca="1" si="23"/>
        <v>166.35643234158931</v>
      </c>
      <c r="N49" s="6">
        <f t="shared" ca="1" si="36"/>
        <v>0</v>
      </c>
      <c r="O49" s="6">
        <f t="shared" ca="1" si="4"/>
        <v>0</v>
      </c>
      <c r="P49" s="6">
        <f ca="1">COUNTIFS($C$2:C48,"&lt;="&amp;C49,$M$2:M48,"&gt;"&amp;C49)</f>
        <v>2</v>
      </c>
      <c r="Q49" s="9">
        <f t="shared" ca="1" si="24"/>
        <v>0</v>
      </c>
      <c r="R49" s="9">
        <f t="shared" ca="1" si="25"/>
        <v>0</v>
      </c>
      <c r="S49" s="9">
        <f t="shared" ca="1" si="26"/>
        <v>0</v>
      </c>
      <c r="T49" s="6">
        <f t="shared" ca="1" si="27"/>
        <v>5.4909201490272608</v>
      </c>
      <c r="U49" s="6">
        <f t="shared" ca="1" si="17"/>
        <v>0</v>
      </c>
      <c r="V49" s="8">
        <f t="shared" ca="1" si="18"/>
        <v>2.6072267227112595</v>
      </c>
      <c r="W49" s="8">
        <f t="shared" ca="1" si="19"/>
        <v>0</v>
      </c>
      <c r="X49" s="8">
        <f t="shared" ca="1" si="20"/>
        <v>0</v>
      </c>
      <c r="Y49" s="8"/>
      <c r="Z49" s="8"/>
      <c r="AA49" s="8"/>
      <c r="AB49" s="8"/>
      <c r="AC49" s="8"/>
      <c r="AD49" s="8"/>
      <c r="AE49" s="8"/>
      <c r="AF49" s="8"/>
    </row>
    <row r="50" spans="1:32" ht="15" x14ac:dyDescent="0.3">
      <c r="A50" s="6">
        <v>49</v>
      </c>
      <c r="B50" s="6">
        <f t="shared" ca="1" si="28"/>
        <v>1.3203225619463195</v>
      </c>
      <c r="C50" s="9">
        <f t="shared" ca="1" si="29"/>
        <v>165.06952818082436</v>
      </c>
      <c r="D50" s="6">
        <f t="shared" ca="1" si="21"/>
        <v>0.46674093556117258</v>
      </c>
      <c r="E50" s="6" t="str">
        <f ca="1">LOOKUP(RAND(),{0,0.4,0.7,0.9},{"DEPOSIT","WITHDRAWAL","INQUIRY","LOAN"})</f>
        <v>WITHDRAWAL</v>
      </c>
      <c r="F50" s="6" t="str">
        <f t="shared" ca="1" si="30"/>
        <v>t4</v>
      </c>
      <c r="G50" s="6">
        <f t="shared" ca="1" si="22"/>
        <v>4.5718855024707201</v>
      </c>
      <c r="H50" s="6">
        <f t="shared" ca="1" si="31"/>
        <v>169.20911038425683</v>
      </c>
      <c r="I50" s="6">
        <f t="shared" ca="1" si="32"/>
        <v>166.35643234158931</v>
      </c>
      <c r="J50" s="6">
        <f t="shared" ca="1" si="33"/>
        <v>170.27844363618746</v>
      </c>
      <c r="K50" s="9">
        <f t="shared" ca="1" si="34"/>
        <v>162.8301709723215</v>
      </c>
      <c r="L50" s="9">
        <f t="shared" ca="1" si="35"/>
        <v>158.25828546985079</v>
      </c>
      <c r="M50" s="6">
        <f t="shared" ca="1" si="23"/>
        <v>162.8301709723215</v>
      </c>
      <c r="N50" s="6">
        <f t="shared" ca="1" si="36"/>
        <v>1.2869041607649478</v>
      </c>
      <c r="O50" s="6">
        <f t="shared" ca="1" si="4"/>
        <v>1</v>
      </c>
      <c r="P50" s="6">
        <f ca="1">COUNTIFS($C$2:C49,"&lt;="&amp;C50,$M$2:M49,"&gt;"&amp;C50)</f>
        <v>3</v>
      </c>
      <c r="Q50" s="9">
        <f t="shared" ca="1" si="24"/>
        <v>0</v>
      </c>
      <c r="R50" s="9">
        <f t="shared" ca="1" si="25"/>
        <v>0</v>
      </c>
      <c r="S50" s="9">
        <f t="shared" ca="1" si="26"/>
        <v>0</v>
      </c>
      <c r="T50" s="6">
        <f t="shared" ca="1" si="27"/>
        <v>2.2393572085028666</v>
      </c>
      <c r="U50" s="6">
        <f t="shared" ca="1" si="17"/>
        <v>0</v>
      </c>
      <c r="V50" s="8">
        <f t="shared" ca="1" si="18"/>
        <v>0</v>
      </c>
      <c r="W50" s="8">
        <f t="shared" ca="1" si="19"/>
        <v>0</v>
      </c>
      <c r="X50" s="8">
        <f t="shared" ca="1" si="20"/>
        <v>4.5718855024707201</v>
      </c>
      <c r="Y50" s="8"/>
      <c r="Z50" s="8"/>
      <c r="AA50" s="8"/>
      <c r="AB50" s="8"/>
      <c r="AC50" s="8"/>
      <c r="AD50" s="8"/>
      <c r="AE50" s="8"/>
      <c r="AF50" s="8"/>
    </row>
    <row r="51" spans="1:32" ht="15" x14ac:dyDescent="0.3">
      <c r="A51" s="6">
        <v>50</v>
      </c>
      <c r="B51" s="6">
        <f t="shared" ca="1" si="28"/>
        <v>0.30362482916187633</v>
      </c>
      <c r="C51" s="9">
        <f t="shared" ca="1" si="29"/>
        <v>165.37315300998625</v>
      </c>
      <c r="D51" s="6">
        <f t="shared" ca="1" si="21"/>
        <v>0.24440653346892582</v>
      </c>
      <c r="E51" s="6" t="str">
        <f ca="1">LOOKUP(RAND(),{0,0.4,0.7,0.9},{"DEPOSIT","WITHDRAWAL","INQUIRY","LOAN"})</f>
        <v>WITHDRAWAL</v>
      </c>
      <c r="F51" s="6" t="str">
        <f t="shared" ca="1" si="30"/>
        <v>t4</v>
      </c>
      <c r="G51" s="6">
        <f t="shared" ca="1" si="22"/>
        <v>8.4535339161245773</v>
      </c>
      <c r="H51" s="6">
        <f t="shared" ca="1" si="31"/>
        <v>169.20911038425683</v>
      </c>
      <c r="I51" s="6">
        <f t="shared" ca="1" si="32"/>
        <v>166.35643234158931</v>
      </c>
      <c r="J51" s="6">
        <f t="shared" ca="1" si="33"/>
        <v>170.27844363618746</v>
      </c>
      <c r="K51" s="9">
        <f t="shared" ca="1" si="34"/>
        <v>171.28370488844607</v>
      </c>
      <c r="L51" s="9">
        <f t="shared" ca="1" si="35"/>
        <v>162.8301709723215</v>
      </c>
      <c r="M51" s="6">
        <f t="shared" ca="1" si="23"/>
        <v>171.28370488844607</v>
      </c>
      <c r="N51" s="6">
        <f t="shared" ca="1" si="36"/>
        <v>0.98327933160305747</v>
      </c>
      <c r="O51" s="6">
        <f t="shared" ca="1" si="4"/>
        <v>1</v>
      </c>
      <c r="P51" s="6">
        <f ca="1">COUNTIFS($C$2:C50,"&lt;="&amp;C51,$M$2:M50,"&gt;"&amp;C51)</f>
        <v>3</v>
      </c>
      <c r="Q51" s="9">
        <f t="shared" ca="1" si="24"/>
        <v>0</v>
      </c>
      <c r="R51" s="9">
        <f t="shared" ca="1" si="25"/>
        <v>0</v>
      </c>
      <c r="S51" s="9">
        <f t="shared" ca="1" si="26"/>
        <v>0</v>
      </c>
      <c r="T51" s="6">
        <f t="shared" ca="1" si="27"/>
        <v>0</v>
      </c>
      <c r="U51" s="6">
        <f t="shared" ca="1" si="17"/>
        <v>0</v>
      </c>
      <c r="V51" s="8">
        <f t="shared" ca="1" si="18"/>
        <v>0</v>
      </c>
      <c r="W51" s="8">
        <f t="shared" ca="1" si="19"/>
        <v>0</v>
      </c>
      <c r="X51" s="8">
        <f t="shared" ca="1" si="20"/>
        <v>8.4535339161245773</v>
      </c>
      <c r="Y51" s="8"/>
      <c r="Z51" s="8"/>
      <c r="AA51" s="8"/>
      <c r="AB51" s="8"/>
      <c r="AC51" s="8"/>
      <c r="AD51" s="8"/>
      <c r="AE51" s="8"/>
      <c r="AF51" s="8"/>
    </row>
    <row r="52" spans="1:32" ht="15" x14ac:dyDescent="0.3">
      <c r="A52" s="6">
        <v>51</v>
      </c>
      <c r="B52" s="6">
        <f t="shared" ca="1" si="28"/>
        <v>3.120298605749928</v>
      </c>
      <c r="C52" s="9">
        <f t="shared" ca="1" si="29"/>
        <v>168.49345161573618</v>
      </c>
      <c r="D52" s="6">
        <f t="shared" ca="1" si="21"/>
        <v>0.3830218813918399</v>
      </c>
      <c r="E52" s="6" t="str">
        <f ca="1">LOOKUP(RAND(),{0,0.4,0.7,0.9},{"DEPOSIT","WITHDRAWAL","INQUIRY","LOAN"})</f>
        <v>DEPOSIT</v>
      </c>
      <c r="F52" s="6" t="str">
        <f t="shared" ca="1" si="30"/>
        <v>t2</v>
      </c>
      <c r="G52" s="6">
        <f t="shared" ca="1" si="22"/>
        <v>4.7983157993102674</v>
      </c>
      <c r="H52" s="6">
        <f t="shared" ca="1" si="31"/>
        <v>169.20911038425683</v>
      </c>
      <c r="I52" s="6">
        <f t="shared" ca="1" si="32"/>
        <v>173.29176741504645</v>
      </c>
      <c r="J52" s="6">
        <f t="shared" ca="1" si="33"/>
        <v>170.27844363618746</v>
      </c>
      <c r="K52" s="9">
        <f t="shared" ca="1" si="34"/>
        <v>171.28370488844607</v>
      </c>
      <c r="L52" s="9">
        <f t="shared" ca="1" si="35"/>
        <v>168.49345161573618</v>
      </c>
      <c r="M52" s="6">
        <f t="shared" ca="1" si="23"/>
        <v>173.29176741504645</v>
      </c>
      <c r="N52" s="6">
        <f t="shared" ca="1" si="36"/>
        <v>0</v>
      </c>
      <c r="O52" s="6">
        <f t="shared" ca="1" si="4"/>
        <v>0</v>
      </c>
      <c r="P52" s="6">
        <f ca="1">COUNTIFS($C$2:C51,"&lt;="&amp;C52,$M$2:M51,"&gt;"&amp;C52)</f>
        <v>3</v>
      </c>
      <c r="Q52" s="9">
        <f t="shared" ca="1" si="24"/>
        <v>0</v>
      </c>
      <c r="R52" s="9">
        <f t="shared" ca="1" si="25"/>
        <v>0</v>
      </c>
      <c r="S52" s="9">
        <f t="shared" ca="1" si="26"/>
        <v>0</v>
      </c>
      <c r="T52" s="6">
        <f t="shared" ca="1" si="27"/>
        <v>0</v>
      </c>
      <c r="U52" s="6">
        <f t="shared" ca="1" si="17"/>
        <v>0</v>
      </c>
      <c r="V52" s="8">
        <f t="shared" ca="1" si="18"/>
        <v>4.7983157993102674</v>
      </c>
      <c r="W52" s="8">
        <f t="shared" ca="1" si="19"/>
        <v>0</v>
      </c>
      <c r="X52" s="8">
        <f t="shared" ca="1" si="20"/>
        <v>0</v>
      </c>
      <c r="Y52" s="8"/>
      <c r="Z52" s="8"/>
      <c r="AA52" s="8"/>
      <c r="AB52" s="8"/>
      <c r="AC52" s="8"/>
      <c r="AD52" s="8"/>
      <c r="AE52" s="8"/>
      <c r="AF52" s="8"/>
    </row>
    <row r="53" spans="1:32" ht="15" x14ac:dyDescent="0.3">
      <c r="A53" s="6">
        <v>52</v>
      </c>
      <c r="B53" s="6">
        <f t="shared" ca="1" si="28"/>
        <v>1.2516486978713182</v>
      </c>
      <c r="C53" s="9">
        <f t="shared" ca="1" si="29"/>
        <v>169.74510031360751</v>
      </c>
      <c r="D53" s="6">
        <f t="shared" ca="1" si="21"/>
        <v>0.67708964011640183</v>
      </c>
      <c r="E53" s="6" t="str">
        <f ca="1">LOOKUP(RAND(),{0,0.4,0.7,0.9},{"DEPOSIT","WITHDRAWAL","INQUIRY","LOAN"})</f>
        <v>WITHDRAWAL</v>
      </c>
      <c r="F53" s="6" t="str">
        <f t="shared" ca="1" si="30"/>
        <v>t1</v>
      </c>
      <c r="G53" s="6">
        <f t="shared" ca="1" si="22"/>
        <v>2.3397096418927505</v>
      </c>
      <c r="H53" s="6">
        <f t="shared" ca="1" si="31"/>
        <v>172.08480995550025</v>
      </c>
      <c r="I53" s="6">
        <f t="shared" ca="1" si="32"/>
        <v>173.29176741504645</v>
      </c>
      <c r="J53" s="6">
        <f t="shared" ca="1" si="33"/>
        <v>170.27844363618746</v>
      </c>
      <c r="K53" s="9">
        <f t="shared" ca="1" si="34"/>
        <v>171.28370488844607</v>
      </c>
      <c r="L53" s="9">
        <f t="shared" ca="1" si="35"/>
        <v>169.74510031360751</v>
      </c>
      <c r="M53" s="6">
        <f t="shared" ca="1" si="23"/>
        <v>172.08480995550025</v>
      </c>
      <c r="N53" s="6">
        <f t="shared" ca="1" si="36"/>
        <v>0</v>
      </c>
      <c r="O53" s="6">
        <f t="shared" ca="1" si="4"/>
        <v>0</v>
      </c>
      <c r="P53" s="6">
        <f ca="1">COUNTIFS($C$2:C52,"&lt;="&amp;C53,$M$2:M52,"&gt;"&amp;C53)</f>
        <v>3</v>
      </c>
      <c r="Q53" s="9">
        <f t="shared" ca="1" si="24"/>
        <v>0</v>
      </c>
      <c r="R53" s="9">
        <f t="shared" ca="1" si="25"/>
        <v>0</v>
      </c>
      <c r="S53" s="9">
        <f t="shared" ca="1" si="26"/>
        <v>0</v>
      </c>
      <c r="T53" s="6">
        <f t="shared" ca="1" si="27"/>
        <v>0</v>
      </c>
      <c r="U53" s="6">
        <f t="shared" ca="1" si="17"/>
        <v>2.3397096418927505</v>
      </c>
      <c r="V53" s="8">
        <f t="shared" ca="1" si="18"/>
        <v>0</v>
      </c>
      <c r="W53" s="8">
        <f t="shared" ca="1" si="19"/>
        <v>0</v>
      </c>
      <c r="X53" s="8">
        <f t="shared" ca="1" si="20"/>
        <v>0</v>
      </c>
      <c r="Y53" s="8"/>
      <c r="Z53" s="8"/>
      <c r="AA53" s="8"/>
      <c r="AB53" s="8"/>
      <c r="AC53" s="8"/>
      <c r="AD53" s="8"/>
      <c r="AE53" s="8"/>
      <c r="AF53" s="8"/>
    </row>
    <row r="54" spans="1:32" ht="15" x14ac:dyDescent="0.3">
      <c r="A54" s="6">
        <v>53</v>
      </c>
      <c r="B54" s="6">
        <f t="shared" ca="1" si="28"/>
        <v>0.93804726997041821</v>
      </c>
      <c r="C54" s="9">
        <f t="shared" ca="1" si="29"/>
        <v>170.68314758357792</v>
      </c>
      <c r="D54" s="6">
        <f t="shared" ca="1" si="21"/>
        <v>8.8898954668955699E-2</v>
      </c>
      <c r="E54" s="6" t="str">
        <f ca="1">LOOKUP(RAND(),{0,0.4,0.7,0.9},{"DEPOSIT","WITHDRAWAL","INQUIRY","LOAN"})</f>
        <v>DEPOSIT</v>
      </c>
      <c r="F54" s="6" t="str">
        <f t="shared" ca="1" si="30"/>
        <v>t3</v>
      </c>
      <c r="G54" s="6">
        <f t="shared" ca="1" si="22"/>
        <v>12.101274475179228</v>
      </c>
      <c r="H54" s="6">
        <f t="shared" ca="1" si="31"/>
        <v>172.08480995550025</v>
      </c>
      <c r="I54" s="6">
        <f t="shared" ca="1" si="32"/>
        <v>173.29176741504645</v>
      </c>
      <c r="J54" s="6">
        <f t="shared" ca="1" si="33"/>
        <v>182.78442205875714</v>
      </c>
      <c r="K54" s="9">
        <f t="shared" ca="1" si="34"/>
        <v>171.28370488844607</v>
      </c>
      <c r="L54" s="9">
        <f t="shared" ca="1" si="35"/>
        <v>170.68314758357792</v>
      </c>
      <c r="M54" s="6">
        <f t="shared" ca="1" si="23"/>
        <v>182.78442205875714</v>
      </c>
      <c r="N54" s="6">
        <f t="shared" ca="1" si="36"/>
        <v>0</v>
      </c>
      <c r="O54" s="6">
        <f t="shared" ca="1" si="4"/>
        <v>0</v>
      </c>
      <c r="P54" s="6">
        <f ca="1">COUNTIFS($C$2:C53,"&lt;="&amp;C54,$M$2:M53,"&gt;"&amp;C54)</f>
        <v>3</v>
      </c>
      <c r="Q54" s="9">
        <f t="shared" ca="1" si="24"/>
        <v>0</v>
      </c>
      <c r="R54" s="9">
        <f t="shared" ca="1" si="25"/>
        <v>0</v>
      </c>
      <c r="S54" s="9">
        <f t="shared" ca="1" si="26"/>
        <v>0</v>
      </c>
      <c r="T54" s="6">
        <f t="shared" ca="1" si="27"/>
        <v>0</v>
      </c>
      <c r="U54" s="6">
        <f t="shared" ca="1" si="17"/>
        <v>0</v>
      </c>
      <c r="V54" s="8">
        <f t="shared" ca="1" si="18"/>
        <v>0</v>
      </c>
      <c r="W54" s="8">
        <f t="shared" ca="1" si="19"/>
        <v>12.101274475179228</v>
      </c>
      <c r="X54" s="8">
        <f t="shared" ca="1" si="20"/>
        <v>0</v>
      </c>
      <c r="Y54" s="8"/>
      <c r="Z54" s="8"/>
      <c r="AA54" s="8"/>
      <c r="AB54" s="8"/>
      <c r="AC54" s="8"/>
      <c r="AD54" s="8"/>
      <c r="AE54" s="8"/>
      <c r="AF54" s="8"/>
    </row>
    <row r="55" spans="1:32" ht="15" x14ac:dyDescent="0.3">
      <c r="A55" s="6">
        <v>54</v>
      </c>
      <c r="B55" s="6">
        <f t="shared" ca="1" si="28"/>
        <v>5.5584642026516802</v>
      </c>
      <c r="C55" s="9">
        <f t="shared" ca="1" si="29"/>
        <v>176.24161178622961</v>
      </c>
      <c r="D55" s="6">
        <f t="shared" ca="1" si="21"/>
        <v>0.8471907881606906</v>
      </c>
      <c r="E55" s="6" t="str">
        <f ca="1">LOOKUP(RAND(),{0,0.4,0.7,0.9},{"DEPOSIT","WITHDRAWAL","INQUIRY","LOAN"})</f>
        <v>DEPOSIT</v>
      </c>
      <c r="F55" s="6" t="str">
        <f t="shared" ca="1" si="30"/>
        <v>t4</v>
      </c>
      <c r="G55" s="6">
        <f t="shared" ca="1" si="22"/>
        <v>1</v>
      </c>
      <c r="H55" s="6">
        <f t="shared" ca="1" si="31"/>
        <v>172.08480995550025</v>
      </c>
      <c r="I55" s="6">
        <f t="shared" ca="1" si="32"/>
        <v>173.29176741504645</v>
      </c>
      <c r="J55" s="6">
        <f t="shared" ca="1" si="33"/>
        <v>182.78442205875714</v>
      </c>
      <c r="K55" s="9">
        <f t="shared" ca="1" si="34"/>
        <v>177.24161178622961</v>
      </c>
      <c r="L55" s="9">
        <f t="shared" ca="1" si="35"/>
        <v>176.24161178622961</v>
      </c>
      <c r="M55" s="6">
        <f t="shared" ca="1" si="23"/>
        <v>177.24161178622961</v>
      </c>
      <c r="N55" s="6">
        <f t="shared" ca="1" si="36"/>
        <v>0</v>
      </c>
      <c r="O55" s="6">
        <f t="shared" ca="1" si="4"/>
        <v>0</v>
      </c>
      <c r="P55" s="6">
        <f ca="1">COUNTIFS($C$2:C54,"&lt;="&amp;C55,$M$2:M54,"&gt;"&amp;C55)</f>
        <v>1</v>
      </c>
      <c r="Q55" s="9">
        <f t="shared" ca="1" si="24"/>
        <v>4.1568018307293642</v>
      </c>
      <c r="R55" s="9">
        <f t="shared" ca="1" si="25"/>
        <v>2.9498443711831612</v>
      </c>
      <c r="S55" s="9">
        <f t="shared" ca="1" si="26"/>
        <v>0</v>
      </c>
      <c r="T55" s="6">
        <f t="shared" ca="1" si="27"/>
        <v>0</v>
      </c>
      <c r="U55" s="6">
        <f t="shared" ca="1" si="17"/>
        <v>0</v>
      </c>
      <c r="V55" s="8">
        <f t="shared" ca="1" si="18"/>
        <v>0</v>
      </c>
      <c r="W55" s="8">
        <f t="shared" ca="1" si="19"/>
        <v>0</v>
      </c>
      <c r="X55" s="8">
        <f t="shared" ca="1" si="20"/>
        <v>1</v>
      </c>
      <c r="Y55" s="8"/>
      <c r="Z55" s="8"/>
      <c r="AA55" s="8"/>
      <c r="AB55" s="8"/>
      <c r="AC55" s="8"/>
      <c r="AD55" s="8"/>
      <c r="AE55" s="8"/>
      <c r="AF55" s="8"/>
    </row>
    <row r="56" spans="1:32" ht="15" x14ac:dyDescent="0.3">
      <c r="A56" s="6">
        <v>55</v>
      </c>
      <c r="B56" s="6">
        <f t="shared" ca="1" si="28"/>
        <v>0.85622287733176894</v>
      </c>
      <c r="C56" s="9">
        <f t="shared" ca="1" si="29"/>
        <v>177.09783466356137</v>
      </c>
      <c r="D56" s="6">
        <f t="shared" ca="1" si="21"/>
        <v>0.35458555597707275</v>
      </c>
      <c r="E56" s="6" t="str">
        <f ca="1">LOOKUP(RAND(),{0,0.4,0.7,0.9},{"DEPOSIT","WITHDRAWAL","INQUIRY","LOAN"})</f>
        <v>WITHDRAWAL</v>
      </c>
      <c r="F56" s="6" t="str">
        <f t="shared" ca="1" si="30"/>
        <v>t1</v>
      </c>
      <c r="G56" s="6">
        <f t="shared" ca="1" si="22"/>
        <v>6.2208337167410352</v>
      </c>
      <c r="H56" s="6">
        <f t="shared" ca="1" si="31"/>
        <v>183.3186683803024</v>
      </c>
      <c r="I56" s="6">
        <f t="shared" ca="1" si="32"/>
        <v>173.29176741504645</v>
      </c>
      <c r="J56" s="6">
        <f t="shared" ca="1" si="33"/>
        <v>182.78442205875714</v>
      </c>
      <c r="K56" s="9">
        <f t="shared" ca="1" si="34"/>
        <v>177.24161178622961</v>
      </c>
      <c r="L56" s="9">
        <f t="shared" ca="1" si="35"/>
        <v>177.09783466356137</v>
      </c>
      <c r="M56" s="6">
        <f t="shared" ca="1" si="23"/>
        <v>183.3186683803024</v>
      </c>
      <c r="N56" s="6">
        <f t="shared" ca="1" si="36"/>
        <v>0</v>
      </c>
      <c r="O56" s="6">
        <f t="shared" ca="1" si="4"/>
        <v>0</v>
      </c>
      <c r="P56" s="6">
        <f ca="1">COUNTIFS($C$2:C55,"&lt;="&amp;C56,$M$2:M55,"&gt;"&amp;C56)</f>
        <v>2</v>
      </c>
      <c r="Q56" s="9">
        <f t="shared" ca="1" si="24"/>
        <v>0</v>
      </c>
      <c r="R56" s="9">
        <f t="shared" ca="1" si="25"/>
        <v>3.8060672485149212</v>
      </c>
      <c r="S56" s="9">
        <f t="shared" ca="1" si="26"/>
        <v>0</v>
      </c>
      <c r="T56" s="6">
        <f t="shared" ca="1" si="27"/>
        <v>0</v>
      </c>
      <c r="U56" s="6">
        <f t="shared" ca="1" si="17"/>
        <v>6.2208337167410352</v>
      </c>
      <c r="V56" s="8">
        <f t="shared" ca="1" si="18"/>
        <v>0</v>
      </c>
      <c r="W56" s="8">
        <f t="shared" ca="1" si="19"/>
        <v>0</v>
      </c>
      <c r="X56" s="8">
        <f t="shared" ca="1" si="20"/>
        <v>0</v>
      </c>
      <c r="Y56" s="8"/>
      <c r="Z56" s="8"/>
      <c r="AA56" s="8"/>
      <c r="AB56" s="8"/>
      <c r="AC56" s="8"/>
      <c r="AD56" s="8"/>
      <c r="AE56" s="8"/>
      <c r="AF56" s="8"/>
    </row>
    <row r="57" spans="1:32" ht="15" x14ac:dyDescent="0.3">
      <c r="A57" s="6">
        <v>56</v>
      </c>
      <c r="B57" s="6">
        <f t="shared" ca="1" si="28"/>
        <v>10.619714752463729</v>
      </c>
      <c r="C57" s="9">
        <f t="shared" ca="1" si="29"/>
        <v>187.71754941602509</v>
      </c>
      <c r="D57" s="6">
        <f t="shared" ca="1" si="21"/>
        <v>0.87637379497468737</v>
      </c>
      <c r="E57" s="6" t="str">
        <f ca="1">LOOKUP(RAND(),{0,0.4,0.7,0.9},{"DEPOSIT","WITHDRAWAL","INQUIRY","LOAN"})</f>
        <v>WITHDRAWAL</v>
      </c>
      <c r="F57" s="6" t="str">
        <f t="shared" ca="1" si="30"/>
        <v>t1</v>
      </c>
      <c r="G57" s="6">
        <f t="shared" ca="1" si="22"/>
        <v>1</v>
      </c>
      <c r="H57" s="6">
        <f t="shared" ca="1" si="31"/>
        <v>188.71754941602509</v>
      </c>
      <c r="I57" s="6">
        <f t="shared" ca="1" si="32"/>
        <v>173.29176741504645</v>
      </c>
      <c r="J57" s="6">
        <f t="shared" ca="1" si="33"/>
        <v>182.78442205875714</v>
      </c>
      <c r="K57" s="9">
        <f t="shared" ca="1" si="34"/>
        <v>177.24161178622961</v>
      </c>
      <c r="L57" s="9">
        <f t="shared" ca="1" si="35"/>
        <v>187.71754941602509</v>
      </c>
      <c r="M57" s="6">
        <f t="shared" ca="1" si="23"/>
        <v>188.71754941602509</v>
      </c>
      <c r="N57" s="6">
        <f t="shared" ca="1" si="36"/>
        <v>0</v>
      </c>
      <c r="O57" s="6">
        <f t="shared" ca="1" si="4"/>
        <v>0</v>
      </c>
      <c r="P57" s="6">
        <f ca="1">COUNTIFS($C$2:C56,"&lt;="&amp;C57,$M$2:M56,"&gt;"&amp;C57)</f>
        <v>0</v>
      </c>
      <c r="Q57" s="9">
        <f t="shared" ca="1" si="24"/>
        <v>0</v>
      </c>
      <c r="R57" s="9">
        <f t="shared" ca="1" si="25"/>
        <v>14.425782000978643</v>
      </c>
      <c r="S57" s="9">
        <f t="shared" ca="1" si="26"/>
        <v>4.9331273572679493</v>
      </c>
      <c r="T57" s="6">
        <f t="shared" ca="1" si="27"/>
        <v>10.475937629795482</v>
      </c>
      <c r="U57" s="6">
        <f t="shared" ca="1" si="17"/>
        <v>1</v>
      </c>
      <c r="V57" s="8">
        <f t="shared" ca="1" si="18"/>
        <v>0</v>
      </c>
      <c r="W57" s="8">
        <f t="shared" ca="1" si="19"/>
        <v>0</v>
      </c>
      <c r="X57" s="8">
        <f t="shared" ca="1" si="20"/>
        <v>0</v>
      </c>
      <c r="Y57" s="8"/>
      <c r="Z57" s="8"/>
      <c r="AA57" s="8"/>
      <c r="AB57" s="8"/>
      <c r="AC57" s="8"/>
      <c r="AD57" s="8"/>
      <c r="AE57" s="8"/>
      <c r="AF57" s="8"/>
    </row>
    <row r="58" spans="1:32" ht="15" x14ac:dyDescent="0.3">
      <c r="A58" s="6">
        <v>57</v>
      </c>
      <c r="B58" s="6">
        <f t="shared" ca="1" si="28"/>
        <v>2.1943836957133658</v>
      </c>
      <c r="C58" s="9">
        <f t="shared" ca="1" si="29"/>
        <v>189.91193311173845</v>
      </c>
      <c r="D58" s="6">
        <f t="shared" ca="1" si="21"/>
        <v>0.47305341695495196</v>
      </c>
      <c r="E58" s="6" t="str">
        <f ca="1">LOOKUP(RAND(),{0,0.4,0.7,0.9},{"DEPOSIT","WITHDRAWAL","INQUIRY","LOAN"})</f>
        <v>INQUIRY</v>
      </c>
      <c r="F58" s="6" t="str">
        <f t="shared" ca="1" si="30"/>
        <v>t1</v>
      </c>
      <c r="G58" s="6">
        <f t="shared" ca="1" si="22"/>
        <v>2.994187858460347</v>
      </c>
      <c r="H58" s="6">
        <f t="shared" ca="1" si="31"/>
        <v>192.9061209701988</v>
      </c>
      <c r="I58" s="6">
        <f t="shared" ca="1" si="32"/>
        <v>173.29176741504645</v>
      </c>
      <c r="J58" s="6">
        <f t="shared" ca="1" si="33"/>
        <v>182.78442205875714</v>
      </c>
      <c r="K58" s="9">
        <f t="shared" ca="1" si="34"/>
        <v>177.24161178622961</v>
      </c>
      <c r="L58" s="9">
        <f t="shared" ca="1" si="35"/>
        <v>189.91193311173845</v>
      </c>
      <c r="M58" s="6">
        <f t="shared" ca="1" si="23"/>
        <v>192.9061209701988</v>
      </c>
      <c r="N58" s="6">
        <f t="shared" ca="1" si="36"/>
        <v>0</v>
      </c>
      <c r="O58" s="6">
        <f t="shared" ca="1" si="4"/>
        <v>0</v>
      </c>
      <c r="P58" s="6">
        <f ca="1">COUNTIFS($C$2:C57,"&lt;="&amp;C58,$M$2:M57,"&gt;"&amp;C58)</f>
        <v>0</v>
      </c>
      <c r="Q58" s="9">
        <f t="shared" ca="1" si="24"/>
        <v>0</v>
      </c>
      <c r="R58" s="9">
        <f t="shared" ca="1" si="25"/>
        <v>16.620165696691998</v>
      </c>
      <c r="S58" s="9">
        <f t="shared" ca="1" si="26"/>
        <v>7.1275110529813048</v>
      </c>
      <c r="T58" s="6">
        <f t="shared" ca="1" si="27"/>
        <v>12.670321325508837</v>
      </c>
      <c r="U58" s="6">
        <f t="shared" ca="1" si="17"/>
        <v>2.994187858460347</v>
      </c>
      <c r="V58" s="8">
        <f t="shared" ca="1" si="18"/>
        <v>0</v>
      </c>
      <c r="W58" s="8">
        <f t="shared" ca="1" si="19"/>
        <v>0</v>
      </c>
      <c r="X58" s="8">
        <f t="shared" ca="1" si="20"/>
        <v>0</v>
      </c>
      <c r="Y58" s="8"/>
      <c r="Z58" s="8"/>
      <c r="AA58" s="8"/>
      <c r="AB58" s="8"/>
      <c r="AC58" s="8"/>
      <c r="AD58" s="8"/>
      <c r="AE58" s="8"/>
      <c r="AF58" s="8"/>
    </row>
    <row r="59" spans="1:32" ht="15" x14ac:dyDescent="0.3">
      <c r="A59" s="6">
        <v>58</v>
      </c>
      <c r="B59" s="6">
        <f t="shared" ca="1" si="28"/>
        <v>0.98874002645453885</v>
      </c>
      <c r="C59" s="9">
        <f t="shared" ca="1" si="29"/>
        <v>190.90067313819299</v>
      </c>
      <c r="D59" s="6">
        <f t="shared" ca="1" si="21"/>
        <v>0.35886237313763591</v>
      </c>
      <c r="E59" s="6" t="str">
        <f ca="1">LOOKUP(RAND(),{0,0.4,0.7,0.9},{"DEPOSIT","WITHDRAWAL","INQUIRY","LOAN"})</f>
        <v>DEPOSIT</v>
      </c>
      <c r="F59" s="6" t="str">
        <f t="shared" ca="1" si="30"/>
        <v>t2</v>
      </c>
      <c r="G59" s="6">
        <f t="shared" ca="1" si="22"/>
        <v>5.1240816286467901</v>
      </c>
      <c r="H59" s="6">
        <f t="shared" ca="1" si="31"/>
        <v>192.9061209701988</v>
      </c>
      <c r="I59" s="6">
        <f t="shared" ca="1" si="32"/>
        <v>196.02475476683978</v>
      </c>
      <c r="J59" s="6">
        <f t="shared" ca="1" si="33"/>
        <v>182.78442205875714</v>
      </c>
      <c r="K59" s="9">
        <f t="shared" ca="1" si="34"/>
        <v>177.24161178622961</v>
      </c>
      <c r="L59" s="9">
        <f t="shared" ca="1" si="35"/>
        <v>190.90067313819299</v>
      </c>
      <c r="M59" s="6">
        <f t="shared" ca="1" si="23"/>
        <v>196.02475476683978</v>
      </c>
      <c r="N59" s="6">
        <f t="shared" ca="1" si="36"/>
        <v>0</v>
      </c>
      <c r="O59" s="6">
        <f t="shared" ca="1" si="4"/>
        <v>0</v>
      </c>
      <c r="P59" s="6">
        <f ca="1">COUNTIFS($C$2:C58,"&lt;="&amp;C59,$M$2:M58,"&gt;"&amp;C59)</f>
        <v>1</v>
      </c>
      <c r="Q59" s="9">
        <f t="shared" ca="1" si="24"/>
        <v>0</v>
      </c>
      <c r="R59" s="9">
        <f t="shared" ca="1" si="25"/>
        <v>0</v>
      </c>
      <c r="S59" s="9">
        <f t="shared" ca="1" si="26"/>
        <v>8.1162510794358411</v>
      </c>
      <c r="T59" s="6">
        <f t="shared" ca="1" si="27"/>
        <v>13.659061351963373</v>
      </c>
      <c r="U59" s="6">
        <f t="shared" ca="1" si="17"/>
        <v>0</v>
      </c>
      <c r="V59" s="8">
        <f t="shared" ca="1" si="18"/>
        <v>5.1240816286467901</v>
      </c>
      <c r="W59" s="8">
        <f t="shared" ca="1" si="19"/>
        <v>0</v>
      </c>
      <c r="X59" s="8">
        <f t="shared" ca="1" si="20"/>
        <v>0</v>
      </c>
      <c r="Y59" s="8"/>
      <c r="Z59" s="8"/>
      <c r="AA59" s="8"/>
      <c r="AB59" s="8"/>
      <c r="AC59" s="8"/>
      <c r="AD59" s="8"/>
      <c r="AE59" s="8"/>
      <c r="AF59" s="8"/>
    </row>
    <row r="60" spans="1:32" ht="15" x14ac:dyDescent="0.3">
      <c r="A60" s="6">
        <v>59</v>
      </c>
      <c r="B60" s="6">
        <f t="shared" ca="1" si="28"/>
        <v>1.0035797363719972</v>
      </c>
      <c r="C60" s="9">
        <f t="shared" ca="1" si="29"/>
        <v>191.90425287456497</v>
      </c>
      <c r="D60" s="6">
        <f t="shared" ca="1" si="21"/>
        <v>0.74483644504500313</v>
      </c>
      <c r="E60" s="6" t="str">
        <f ca="1">LOOKUP(RAND(),{0,0.4,0.7,0.9},{"DEPOSIT","WITHDRAWAL","INQUIRY","LOAN"})</f>
        <v>WITHDRAWAL</v>
      </c>
      <c r="F60" s="6" t="str">
        <f t="shared" ca="1" si="30"/>
        <v>t4</v>
      </c>
      <c r="G60" s="6">
        <f t="shared" ca="1" si="22"/>
        <v>1.7675437293399878</v>
      </c>
      <c r="H60" s="6">
        <f t="shared" ca="1" si="31"/>
        <v>192.9061209701988</v>
      </c>
      <c r="I60" s="6">
        <f t="shared" ca="1" si="32"/>
        <v>196.02475476683978</v>
      </c>
      <c r="J60" s="6">
        <f t="shared" ca="1" si="33"/>
        <v>182.78442205875714</v>
      </c>
      <c r="K60" s="9">
        <f t="shared" ca="1" si="34"/>
        <v>193.67179660390497</v>
      </c>
      <c r="L60" s="9">
        <f t="shared" ca="1" si="35"/>
        <v>191.90425287456497</v>
      </c>
      <c r="M60" s="6">
        <f t="shared" ca="1" si="23"/>
        <v>193.67179660390497</v>
      </c>
      <c r="N60" s="6">
        <f t="shared" ca="1" si="36"/>
        <v>0</v>
      </c>
      <c r="O60" s="6">
        <f t="shared" ca="1" si="4"/>
        <v>0</v>
      </c>
      <c r="P60" s="6">
        <f ca="1">COUNTIFS($C$2:C59,"&lt;="&amp;C60,$M$2:M59,"&gt;"&amp;C60)</f>
        <v>2</v>
      </c>
      <c r="Q60" s="9">
        <f t="shared" ca="1" si="24"/>
        <v>0</v>
      </c>
      <c r="R60" s="9">
        <f t="shared" ca="1" si="25"/>
        <v>0</v>
      </c>
      <c r="S60" s="9">
        <f t="shared" ca="1" si="26"/>
        <v>9.1198308158078305</v>
      </c>
      <c r="T60" s="6">
        <f t="shared" ca="1" si="27"/>
        <v>0</v>
      </c>
      <c r="U60" s="6">
        <f t="shared" ca="1" si="17"/>
        <v>0</v>
      </c>
      <c r="V60" s="8">
        <f t="shared" ca="1" si="18"/>
        <v>0</v>
      </c>
      <c r="W60" s="8">
        <f t="shared" ca="1" si="19"/>
        <v>0</v>
      </c>
      <c r="X60" s="8">
        <f t="shared" ca="1" si="20"/>
        <v>1.7675437293399878</v>
      </c>
      <c r="Y60" s="8"/>
      <c r="Z60" s="8"/>
      <c r="AA60" s="8"/>
      <c r="AB60" s="8"/>
      <c r="AC60" s="8"/>
      <c r="AD60" s="8"/>
      <c r="AE60" s="8"/>
      <c r="AF60" s="8"/>
    </row>
    <row r="61" spans="1:32" ht="15" x14ac:dyDescent="0.3">
      <c r="A61" s="6">
        <v>60</v>
      </c>
      <c r="B61" s="6">
        <f t="shared" ca="1" si="28"/>
        <v>1.510921770719863</v>
      </c>
      <c r="C61" s="9">
        <f t="shared" ca="1" si="29"/>
        <v>193.41517464528485</v>
      </c>
      <c r="D61" s="6">
        <f t="shared" ca="1" si="21"/>
        <v>0.21551542914049515</v>
      </c>
      <c r="E61" s="6" t="str">
        <f ca="1">LOOKUP(RAND(),{0,0.4,0.7,0.9},{"DEPOSIT","WITHDRAWAL","INQUIRY","LOAN"})</f>
        <v>WITHDRAWAL</v>
      </c>
      <c r="F61" s="6" t="str">
        <f t="shared" ca="1" si="30"/>
        <v>t3</v>
      </c>
      <c r="G61" s="6">
        <f t="shared" ca="1" si="22"/>
        <v>9.2083366503697217</v>
      </c>
      <c r="H61" s="6">
        <f t="shared" ca="1" si="31"/>
        <v>192.9061209701988</v>
      </c>
      <c r="I61" s="6">
        <f t="shared" ca="1" si="32"/>
        <v>196.02475476683978</v>
      </c>
      <c r="J61" s="6">
        <f t="shared" ca="1" si="33"/>
        <v>202.62351129565457</v>
      </c>
      <c r="K61" s="9">
        <f t="shared" ca="1" si="34"/>
        <v>193.67179660390497</v>
      </c>
      <c r="L61" s="9">
        <f t="shared" ca="1" si="35"/>
        <v>193.41517464528485</v>
      </c>
      <c r="M61" s="6">
        <f t="shared" ca="1" si="23"/>
        <v>202.62351129565457</v>
      </c>
      <c r="N61" s="6">
        <f t="shared" ca="1" si="36"/>
        <v>0</v>
      </c>
      <c r="O61" s="6">
        <f t="shared" ca="1" si="4"/>
        <v>0</v>
      </c>
      <c r="P61" s="6">
        <f ca="1">COUNTIFS($C$2:C60,"&lt;="&amp;C61,$M$2:M60,"&gt;"&amp;C61)</f>
        <v>2</v>
      </c>
      <c r="Q61" s="9">
        <f t="shared" ca="1" si="24"/>
        <v>0.50905367508605082</v>
      </c>
      <c r="R61" s="9">
        <f t="shared" ca="1" si="25"/>
        <v>0</v>
      </c>
      <c r="S61" s="9">
        <f t="shared" ca="1" si="26"/>
        <v>0</v>
      </c>
      <c r="T61" s="6">
        <f t="shared" ca="1" si="27"/>
        <v>0</v>
      </c>
      <c r="U61" s="6">
        <f t="shared" ca="1" si="17"/>
        <v>0</v>
      </c>
      <c r="V61" s="8">
        <f t="shared" ca="1" si="18"/>
        <v>0</v>
      </c>
      <c r="W61" s="8">
        <f t="shared" ca="1" si="19"/>
        <v>9.2083366503697217</v>
      </c>
      <c r="X61" s="8">
        <f t="shared" ca="1" si="20"/>
        <v>0</v>
      </c>
      <c r="Y61" s="8"/>
      <c r="Z61" s="8"/>
      <c r="AA61" s="8"/>
      <c r="AB61" s="8"/>
      <c r="AC61" s="8"/>
      <c r="AD61" s="8"/>
      <c r="AE61" s="8"/>
      <c r="AF61" s="8"/>
    </row>
    <row r="62" spans="1:32" ht="15" x14ac:dyDescent="0.3">
      <c r="A62" s="6">
        <v>61</v>
      </c>
      <c r="B62" s="6">
        <f t="shared" ca="1" si="28"/>
        <v>6.0257242627027559</v>
      </c>
      <c r="C62" s="9">
        <f t="shared" ca="1" si="29"/>
        <v>199.44089890798762</v>
      </c>
      <c r="D62" s="6">
        <f t="shared" ca="1" si="21"/>
        <v>0.74499518280869192</v>
      </c>
      <c r="E62" s="6" t="str">
        <f ca="1">LOOKUP(RAND(),{0,0.4,0.7,0.9},{"DEPOSIT","WITHDRAWAL","INQUIRY","LOAN"})</f>
        <v>WITHDRAWAL</v>
      </c>
      <c r="F62" s="6" t="str">
        <f t="shared" ca="1" si="30"/>
        <v>t1</v>
      </c>
      <c r="G62" s="6">
        <f t="shared" ca="1" si="22"/>
        <v>1.766265159912503</v>
      </c>
      <c r="H62" s="6">
        <f t="shared" ca="1" si="31"/>
        <v>201.20716406790012</v>
      </c>
      <c r="I62" s="6">
        <f t="shared" ca="1" si="32"/>
        <v>196.02475476683978</v>
      </c>
      <c r="J62" s="6">
        <f t="shared" ca="1" si="33"/>
        <v>202.62351129565457</v>
      </c>
      <c r="K62" s="9">
        <f t="shared" ca="1" si="34"/>
        <v>193.67179660390497</v>
      </c>
      <c r="L62" s="9">
        <f t="shared" ca="1" si="35"/>
        <v>199.44089890798762</v>
      </c>
      <c r="M62" s="6">
        <f t="shared" ca="1" si="23"/>
        <v>201.20716406790012</v>
      </c>
      <c r="N62" s="6">
        <f t="shared" ca="1" si="36"/>
        <v>0</v>
      </c>
      <c r="O62" s="6">
        <f t="shared" ca="1" si="4"/>
        <v>0</v>
      </c>
      <c r="P62" s="6">
        <f ca="1">COUNTIFS($C$2:C61,"&lt;="&amp;C62,$M$2:M61,"&gt;"&amp;C62)</f>
        <v>1</v>
      </c>
      <c r="Q62" s="9">
        <f t="shared" ca="1" si="24"/>
        <v>0</v>
      </c>
      <c r="R62" s="9">
        <f t="shared" ca="1" si="25"/>
        <v>3.4161441411478393</v>
      </c>
      <c r="S62" s="9">
        <f t="shared" ca="1" si="26"/>
        <v>0</v>
      </c>
      <c r="T62" s="6">
        <f t="shared" ca="1" si="27"/>
        <v>5.7691023040826508</v>
      </c>
      <c r="U62" s="6">
        <f t="shared" ca="1" si="17"/>
        <v>1.766265159912503</v>
      </c>
      <c r="V62" s="8">
        <f t="shared" ca="1" si="18"/>
        <v>0</v>
      </c>
      <c r="W62" s="8">
        <f t="shared" ca="1" si="19"/>
        <v>0</v>
      </c>
      <c r="X62" s="8">
        <f t="shared" ca="1" si="20"/>
        <v>0</v>
      </c>
      <c r="Y62" s="8"/>
      <c r="Z62" s="8"/>
      <c r="AA62" s="8"/>
      <c r="AB62" s="8"/>
      <c r="AC62" s="8"/>
      <c r="AD62" s="8"/>
      <c r="AE62" s="8"/>
      <c r="AF62" s="8"/>
    </row>
    <row r="63" spans="1:32" ht="15" x14ac:dyDescent="0.3">
      <c r="A63" s="6">
        <v>62</v>
      </c>
      <c r="B63" s="6">
        <f t="shared" ca="1" si="28"/>
        <v>4.3310906040965307</v>
      </c>
      <c r="C63" s="9">
        <f t="shared" ca="1" si="29"/>
        <v>203.77198951208413</v>
      </c>
      <c r="D63" s="6">
        <f t="shared" ca="1" si="21"/>
        <v>0.53539382474179187</v>
      </c>
      <c r="E63" s="6" t="str">
        <f ca="1">LOOKUP(RAND(),{0,0.4,0.7,0.9},{"DEPOSIT","WITHDRAWAL","INQUIRY","LOAN"})</f>
        <v>INQUIRY</v>
      </c>
      <c r="F63" s="6" t="str">
        <f t="shared" ca="1" si="30"/>
        <v>t1</v>
      </c>
      <c r="G63" s="6">
        <f t="shared" ca="1" si="22"/>
        <v>2.4990107275104791</v>
      </c>
      <c r="H63" s="6">
        <f t="shared" ca="1" si="31"/>
        <v>206.2710002395946</v>
      </c>
      <c r="I63" s="6">
        <f t="shared" ca="1" si="32"/>
        <v>196.02475476683978</v>
      </c>
      <c r="J63" s="6">
        <f t="shared" ca="1" si="33"/>
        <v>202.62351129565457</v>
      </c>
      <c r="K63" s="9">
        <f t="shared" ca="1" si="34"/>
        <v>193.67179660390497</v>
      </c>
      <c r="L63" s="9">
        <f t="shared" ca="1" si="35"/>
        <v>203.77198951208413</v>
      </c>
      <c r="M63" s="6">
        <f t="shared" ca="1" si="23"/>
        <v>206.2710002395946</v>
      </c>
      <c r="N63" s="6">
        <f t="shared" ca="1" si="36"/>
        <v>0</v>
      </c>
      <c r="O63" s="6">
        <f t="shared" ca="1" si="4"/>
        <v>0</v>
      </c>
      <c r="P63" s="6">
        <f ca="1">COUNTIFS($C$2:C62,"&lt;="&amp;C63,$M$2:M62,"&gt;"&amp;C63)</f>
        <v>0</v>
      </c>
      <c r="Q63" s="9">
        <f t="shared" ca="1" si="24"/>
        <v>0</v>
      </c>
      <c r="R63" s="9">
        <f t="shared" ca="1" si="25"/>
        <v>7.7472347452443557</v>
      </c>
      <c r="S63" s="9">
        <f t="shared" ca="1" si="26"/>
        <v>1.1484782164295666</v>
      </c>
      <c r="T63" s="6">
        <f t="shared" ca="1" si="27"/>
        <v>10.100192908179167</v>
      </c>
      <c r="U63" s="6">
        <f t="shared" ca="1" si="17"/>
        <v>2.4990107275104791</v>
      </c>
      <c r="V63" s="8">
        <f t="shared" ca="1" si="18"/>
        <v>0</v>
      </c>
      <c r="W63" s="8">
        <f t="shared" ca="1" si="19"/>
        <v>0</v>
      </c>
      <c r="X63" s="8">
        <f t="shared" ca="1" si="20"/>
        <v>0</v>
      </c>
      <c r="Y63" s="8"/>
      <c r="Z63" s="8"/>
      <c r="AA63" s="8"/>
      <c r="AB63" s="8"/>
      <c r="AC63" s="8"/>
      <c r="AD63" s="8"/>
      <c r="AE63" s="8"/>
      <c r="AF63" s="8"/>
    </row>
    <row r="64" spans="1:32" ht="15" x14ac:dyDescent="0.3">
      <c r="A64" s="6">
        <v>63</v>
      </c>
      <c r="B64" s="6">
        <f t="shared" ca="1" si="28"/>
        <v>12.230775423413148</v>
      </c>
      <c r="C64" s="9">
        <f t="shared" ca="1" si="29"/>
        <v>216.00276493549728</v>
      </c>
      <c r="D64" s="6">
        <f t="shared" ca="1" si="21"/>
        <v>0.91615458108789105</v>
      </c>
      <c r="E64" s="6" t="str">
        <f ca="1">LOOKUP(RAND(),{0,0.4,0.7,0.9},{"DEPOSIT","WITHDRAWAL","INQUIRY","LOAN"})</f>
        <v>WITHDRAWAL</v>
      </c>
      <c r="F64" s="6" t="str">
        <f t="shared" ca="1" si="30"/>
        <v>t1</v>
      </c>
      <c r="G64" s="6">
        <f t="shared" ca="1" si="22"/>
        <v>1</v>
      </c>
      <c r="H64" s="6">
        <f t="shared" ca="1" si="31"/>
        <v>217.00276493549728</v>
      </c>
      <c r="I64" s="6">
        <f t="shared" ca="1" si="32"/>
        <v>196.02475476683978</v>
      </c>
      <c r="J64" s="6">
        <f t="shared" ca="1" si="33"/>
        <v>202.62351129565457</v>
      </c>
      <c r="K64" s="9">
        <f t="shared" ca="1" si="34"/>
        <v>193.67179660390497</v>
      </c>
      <c r="L64" s="9">
        <f t="shared" ca="1" si="35"/>
        <v>216.00276493549728</v>
      </c>
      <c r="M64" s="6">
        <f t="shared" ca="1" si="23"/>
        <v>217.00276493549728</v>
      </c>
      <c r="N64" s="6">
        <f t="shared" ca="1" si="36"/>
        <v>0</v>
      </c>
      <c r="O64" s="6">
        <f t="shared" ca="1" si="4"/>
        <v>0</v>
      </c>
      <c r="P64" s="6">
        <f ca="1">COUNTIFS($C$2:C63,"&lt;="&amp;C64,$M$2:M63,"&gt;"&amp;C64)</f>
        <v>0</v>
      </c>
      <c r="Q64" s="9">
        <f t="shared" ca="1" si="24"/>
        <v>0</v>
      </c>
      <c r="R64" s="9">
        <f t="shared" ca="1" si="25"/>
        <v>19.978010168657505</v>
      </c>
      <c r="S64" s="9">
        <f t="shared" ca="1" si="26"/>
        <v>13.379253639842716</v>
      </c>
      <c r="T64" s="6">
        <f t="shared" ca="1" si="27"/>
        <v>22.330968331592317</v>
      </c>
      <c r="U64" s="6">
        <f t="shared" ca="1" si="17"/>
        <v>1</v>
      </c>
      <c r="V64" s="8">
        <f t="shared" ca="1" si="18"/>
        <v>0</v>
      </c>
      <c r="W64" s="8">
        <f t="shared" ca="1" si="19"/>
        <v>0</v>
      </c>
      <c r="X64" s="8">
        <f t="shared" ca="1" si="20"/>
        <v>0</v>
      </c>
      <c r="Y64" s="8"/>
      <c r="Z64" s="8"/>
      <c r="AA64" s="8"/>
      <c r="AB64" s="8"/>
      <c r="AC64" s="8"/>
      <c r="AD64" s="8"/>
      <c r="AE64" s="8"/>
      <c r="AF64" s="8"/>
    </row>
    <row r="65" spans="1:32" ht="15" x14ac:dyDescent="0.3">
      <c r="A65" s="6">
        <v>64</v>
      </c>
      <c r="B65" s="6">
        <f t="shared" ca="1" si="28"/>
        <v>0.22630065063732308</v>
      </c>
      <c r="C65" s="9">
        <f t="shared" ca="1" si="29"/>
        <v>216.2290655861346</v>
      </c>
      <c r="D65" s="6">
        <f t="shared" ca="1" si="21"/>
        <v>0.80002954411876537</v>
      </c>
      <c r="E65" s="6" t="str">
        <f ca="1">LOOKUP(RAND(),{0,0.4,0.7,0.9},{"DEPOSIT","WITHDRAWAL","INQUIRY","LOAN"})</f>
        <v>LOAN</v>
      </c>
      <c r="F65" s="6" t="str">
        <f t="shared" ca="1" si="30"/>
        <v>t4</v>
      </c>
      <c r="G65" s="6">
        <f t="shared" ca="1" si="22"/>
        <v>2.6772794621718505</v>
      </c>
      <c r="H65" s="6">
        <f t="shared" ca="1" si="31"/>
        <v>217.00276493549728</v>
      </c>
      <c r="I65" s="6">
        <f t="shared" ca="1" si="32"/>
        <v>196.02475476683978</v>
      </c>
      <c r="J65" s="6">
        <f t="shared" ca="1" si="33"/>
        <v>202.62351129565457</v>
      </c>
      <c r="K65" s="9">
        <f t="shared" ca="1" si="34"/>
        <v>218.90634504830643</v>
      </c>
      <c r="L65" s="9">
        <f t="shared" ca="1" si="35"/>
        <v>216.2290655861346</v>
      </c>
      <c r="M65" s="6">
        <f t="shared" ca="1" si="23"/>
        <v>218.90634504830643</v>
      </c>
      <c r="N65" s="6">
        <f t="shared" ca="1" si="36"/>
        <v>0</v>
      </c>
      <c r="O65" s="6">
        <f t="shared" ca="1" si="4"/>
        <v>0</v>
      </c>
      <c r="P65" s="6">
        <f ca="1">COUNTIFS($C$2:C64,"&lt;="&amp;C65,$M$2:M64,"&gt;"&amp;C65)</f>
        <v>1</v>
      </c>
      <c r="Q65" s="9">
        <f t="shared" ca="1" si="24"/>
        <v>0</v>
      </c>
      <c r="R65" s="9">
        <f t="shared" ca="1" si="25"/>
        <v>20.204310819294818</v>
      </c>
      <c r="S65" s="9">
        <f t="shared" ca="1" si="26"/>
        <v>13.605554290480029</v>
      </c>
      <c r="T65" s="6">
        <f t="shared" ca="1" si="27"/>
        <v>0</v>
      </c>
      <c r="U65" s="6">
        <f t="shared" ca="1" si="17"/>
        <v>0</v>
      </c>
      <c r="V65" s="8">
        <f t="shared" ca="1" si="18"/>
        <v>0</v>
      </c>
      <c r="W65" s="8">
        <f t="shared" ca="1" si="19"/>
        <v>0</v>
      </c>
      <c r="X65" s="8">
        <f t="shared" ca="1" si="20"/>
        <v>2.6772794621718505</v>
      </c>
      <c r="Y65" s="8"/>
      <c r="Z65" s="8"/>
      <c r="AA65" s="8"/>
      <c r="AB65" s="8"/>
      <c r="AC65" s="8"/>
      <c r="AD65" s="8"/>
      <c r="AE65" s="8"/>
      <c r="AF65" s="8"/>
    </row>
    <row r="66" spans="1:32" ht="15" x14ac:dyDescent="0.3">
      <c r="A66" s="6">
        <v>65</v>
      </c>
      <c r="B66" s="6">
        <f t="shared" ca="1" si="28"/>
        <v>0.83016099621456763</v>
      </c>
      <c r="C66" s="9">
        <f t="shared" ca="1" si="29"/>
        <v>217.05922658234917</v>
      </c>
      <c r="D66" s="6">
        <f t="shared" ref="D66:D97" ca="1" si="37">RAND()</f>
        <v>0.69965808175620314</v>
      </c>
      <c r="E66" s="6" t="str">
        <f ca="1">LOOKUP(RAND(),{0,0.4,0.7,0.9},{"DEPOSIT","WITHDRAWAL","INQUIRY","LOAN"})</f>
        <v>DEPOSIT</v>
      </c>
      <c r="F66" s="6" t="str">
        <f t="shared" ca="1" si="30"/>
        <v>t2</v>
      </c>
      <c r="G66" s="6">
        <f t="shared" ref="G66:G97" ca="1" si="38">IF(E66="DEPOSIT",MAX(1,-5*LN(D66)),IF(E66="WITHDRAWAL",MAX(1,-6*LN(D66)),IF(E66="INQUIRY",MAX(1,-4*LN(D66)),MAX(1,-12*LN(D66)))))</f>
        <v>1.7858175895277668</v>
      </c>
      <c r="H66" s="6">
        <f t="shared" ca="1" si="31"/>
        <v>217.00276493549728</v>
      </c>
      <c r="I66" s="6">
        <f t="shared" ca="1" si="32"/>
        <v>218.84504417187694</v>
      </c>
      <c r="J66" s="6">
        <f t="shared" ca="1" si="33"/>
        <v>202.62351129565457</v>
      </c>
      <c r="K66" s="9">
        <f t="shared" ca="1" si="34"/>
        <v>218.90634504830643</v>
      </c>
      <c r="L66" s="9">
        <f t="shared" ca="1" si="35"/>
        <v>217.05922658234917</v>
      </c>
      <c r="M66" s="6">
        <f t="shared" ref="M66:M97" ca="1" si="39">L66+G66</f>
        <v>218.84504417187694</v>
      </c>
      <c r="N66" s="6">
        <f t="shared" ca="1" si="36"/>
        <v>0</v>
      </c>
      <c r="O66" s="6">
        <f t="shared" ca="1" si="4"/>
        <v>0</v>
      </c>
      <c r="P66" s="6">
        <f ca="1">COUNTIFS($C$2:C65,"&lt;="&amp;C66,$M$2:M65,"&gt;"&amp;C66)</f>
        <v>1</v>
      </c>
      <c r="Q66" s="9">
        <f t="shared" ref="Q66:Q97" ca="1" si="40">MAX(0,C66-H66)</f>
        <v>5.6461646851886371E-2</v>
      </c>
      <c r="R66" s="9">
        <f t="shared" ref="R66:R97" ca="1" si="41">MAX(0,C66-I66)</f>
        <v>0</v>
      </c>
      <c r="S66" s="9">
        <f t="shared" ref="S66:S97" ca="1" si="42">MAX(0,C66-J66)</f>
        <v>14.435715286694602</v>
      </c>
      <c r="T66" s="6">
        <f t="shared" ref="T66:T97" ca="1" si="43">MAX(0,C66-K66)</f>
        <v>0</v>
      </c>
      <c r="U66" s="6">
        <f t="shared" ca="1" si="17"/>
        <v>0</v>
      </c>
      <c r="V66" s="8">
        <f t="shared" ca="1" si="18"/>
        <v>1.7858175895277668</v>
      </c>
      <c r="W66" s="8">
        <f t="shared" ca="1" si="19"/>
        <v>0</v>
      </c>
      <c r="X66" s="8">
        <f t="shared" ca="1" si="20"/>
        <v>0</v>
      </c>
      <c r="Y66" s="8"/>
      <c r="Z66" s="8"/>
      <c r="AA66" s="8"/>
      <c r="AB66" s="8"/>
      <c r="AC66" s="8"/>
      <c r="AD66" s="8"/>
      <c r="AE66" s="8"/>
      <c r="AF66" s="8"/>
    </row>
    <row r="67" spans="1:32" ht="15" x14ac:dyDescent="0.3">
      <c r="A67" s="6">
        <v>66</v>
      </c>
      <c r="B67" s="6">
        <f t="shared" ref="B67:B98" ca="1" si="44">-LN(1-RAND())/(20/60)</f>
        <v>1.1456548299725529</v>
      </c>
      <c r="C67" s="9">
        <f t="shared" ref="C67:C98" ca="1" si="45">C66+B67</f>
        <v>218.20488141232173</v>
      </c>
      <c r="D67" s="6">
        <f t="shared" ca="1" si="37"/>
        <v>0.52838088371749059</v>
      </c>
      <c r="E67" s="6" t="str">
        <f ca="1">LOOKUP(RAND(),{0,0.4,0.7,0.9},{"DEPOSIT","WITHDRAWAL","INQUIRY","LOAN"})</f>
        <v>INQUIRY</v>
      </c>
      <c r="F67" s="6" t="str">
        <f t="shared" ref="F67:F98" ca="1" si="46">IF(C67&gt;MAX(H66,I66,J66,K66),"t1",IF(MIN(H66,I66,J66,K66)=H66,"t1",(IF(MIN(H66,I66,J66,K66)=I66,"t2",IF(MIN(H66,I66,J66,K66)=J66,"t3","t4")))))</f>
        <v>t3</v>
      </c>
      <c r="G67" s="6">
        <f t="shared" ca="1" si="38"/>
        <v>2.5517515386463065</v>
      </c>
      <c r="H67" s="6">
        <f t="shared" ref="H67:H98" ca="1" si="47">IF(F67="t1",M67,H66)</f>
        <v>217.00276493549728</v>
      </c>
      <c r="I67" s="6">
        <f t="shared" ref="I67:I98" ca="1" si="48">IF(F67="t2",M67,I66)</f>
        <v>218.84504417187694</v>
      </c>
      <c r="J67" s="6">
        <f t="shared" ref="J67:J98" ca="1" si="49">IF(F67="t3",M67,J66)</f>
        <v>220.75663295096803</v>
      </c>
      <c r="K67" s="9">
        <f t="shared" ref="K67:K98" ca="1" si="50">IF(F67="t4",M67,K66)</f>
        <v>218.90634504830643</v>
      </c>
      <c r="L67" s="9">
        <f t="shared" ref="L67:L98" ca="1" si="51">IF(N67=0,C67,MIN(H66,I66,J66,K66))</f>
        <v>218.20488141232173</v>
      </c>
      <c r="M67" s="6">
        <f t="shared" ca="1" si="39"/>
        <v>220.75663295096803</v>
      </c>
      <c r="N67" s="6">
        <f t="shared" ref="N67:N98" ca="1" si="52">IF(C67&lt;MIN(H66,I66,J66),MIN(H66,I66,J66)-C67,0)</f>
        <v>0</v>
      </c>
      <c r="O67" s="6">
        <f t="shared" ref="O67:O130" ca="1" si="53">IF(N67=0,0,1)</f>
        <v>0</v>
      </c>
      <c r="P67" s="6">
        <f ca="1">COUNTIFS($C$2:C66,"&lt;="&amp;C67,$M$2:M66,"&gt;"&amp;C67)</f>
        <v>2</v>
      </c>
      <c r="Q67" s="9">
        <f t="shared" ca="1" si="40"/>
        <v>1.2021164768244432</v>
      </c>
      <c r="R67" s="9">
        <f t="shared" ca="1" si="41"/>
        <v>0</v>
      </c>
      <c r="S67" s="9">
        <f t="shared" ca="1" si="42"/>
        <v>0</v>
      </c>
      <c r="T67" s="6">
        <f t="shared" ca="1" si="43"/>
        <v>0</v>
      </c>
      <c r="U67" s="6">
        <f t="shared" ref="U67:U130" ca="1" si="54">IF(F67="t1",G67,0)</f>
        <v>0</v>
      </c>
      <c r="V67" s="8">
        <f t="shared" ref="V67:V130" ca="1" si="55">IF(F67="t2",G67,0)</f>
        <v>0</v>
      </c>
      <c r="W67" s="8">
        <f t="shared" ref="W67:W130" ca="1" si="56">IF(F67="t3",G67,0)</f>
        <v>2.5517515386463065</v>
      </c>
      <c r="X67" s="8">
        <f t="shared" ref="X67:X130" ca="1" si="57">IF(F67="t4",G67,0)</f>
        <v>0</v>
      </c>
      <c r="Y67" s="8"/>
      <c r="Z67" s="8"/>
      <c r="AA67" s="8"/>
      <c r="AB67" s="8"/>
      <c r="AC67" s="8"/>
      <c r="AD67" s="8"/>
      <c r="AE67" s="8"/>
      <c r="AF67" s="8"/>
    </row>
    <row r="68" spans="1:32" ht="15" x14ac:dyDescent="0.3">
      <c r="A68" s="6">
        <v>67</v>
      </c>
      <c r="B68" s="6">
        <f t="shared" ca="1" si="44"/>
        <v>3.2314986131833785</v>
      </c>
      <c r="C68" s="9">
        <f t="shared" ca="1" si="45"/>
        <v>221.43638002550512</v>
      </c>
      <c r="D68" s="6">
        <f t="shared" ca="1" si="37"/>
        <v>0.81551283369735217</v>
      </c>
      <c r="E68" s="6" t="str">
        <f ca="1">LOOKUP(RAND(),{0,0.4,0.7,0.9},{"DEPOSIT","WITHDRAWAL","INQUIRY","LOAN"})</f>
        <v>DEPOSIT</v>
      </c>
      <c r="F68" s="6" t="str">
        <f t="shared" ca="1" si="46"/>
        <v>t1</v>
      </c>
      <c r="G68" s="6">
        <f t="shared" ca="1" si="38"/>
        <v>1.0196905991585619</v>
      </c>
      <c r="H68" s="6">
        <f t="shared" ca="1" si="47"/>
        <v>222.45607062466368</v>
      </c>
      <c r="I68" s="6">
        <f t="shared" ca="1" si="48"/>
        <v>218.84504417187694</v>
      </c>
      <c r="J68" s="6">
        <f t="shared" ca="1" si="49"/>
        <v>220.75663295096803</v>
      </c>
      <c r="K68" s="9">
        <f t="shared" ca="1" si="50"/>
        <v>218.90634504830643</v>
      </c>
      <c r="L68" s="9">
        <f t="shared" ca="1" si="51"/>
        <v>221.43638002550512</v>
      </c>
      <c r="M68" s="6">
        <f t="shared" ca="1" si="39"/>
        <v>222.45607062466368</v>
      </c>
      <c r="N68" s="6">
        <f t="shared" ca="1" si="52"/>
        <v>0</v>
      </c>
      <c r="O68" s="6">
        <f t="shared" ca="1" si="53"/>
        <v>0</v>
      </c>
      <c r="P68" s="6">
        <f ca="1">COUNTIFS($C$2:C67,"&lt;="&amp;C68,$M$2:M67,"&gt;"&amp;C68)</f>
        <v>0</v>
      </c>
      <c r="Q68" s="9">
        <f t="shared" ca="1" si="40"/>
        <v>0</v>
      </c>
      <c r="R68" s="9">
        <f t="shared" ca="1" si="41"/>
        <v>2.5913358536281805</v>
      </c>
      <c r="S68" s="9">
        <f t="shared" ca="1" si="42"/>
        <v>0.67974707453709016</v>
      </c>
      <c r="T68" s="6">
        <f t="shared" ca="1" si="43"/>
        <v>2.5300349771986816</v>
      </c>
      <c r="U68" s="6">
        <f t="shared" ca="1" si="54"/>
        <v>1.0196905991585619</v>
      </c>
      <c r="V68" s="8">
        <f t="shared" ca="1" si="55"/>
        <v>0</v>
      </c>
      <c r="W68" s="8">
        <f t="shared" ca="1" si="56"/>
        <v>0</v>
      </c>
      <c r="X68" s="8">
        <f t="shared" ca="1" si="57"/>
        <v>0</v>
      </c>
      <c r="Y68" s="8"/>
      <c r="Z68" s="8"/>
      <c r="AA68" s="8"/>
      <c r="AB68" s="8"/>
      <c r="AC68" s="8"/>
      <c r="AD68" s="8"/>
      <c r="AE68" s="8"/>
      <c r="AF68" s="8"/>
    </row>
    <row r="69" spans="1:32" ht="15" x14ac:dyDescent="0.3">
      <c r="A69" s="6">
        <v>68</v>
      </c>
      <c r="B69" s="6">
        <f t="shared" ca="1" si="44"/>
        <v>0.82903074229087093</v>
      </c>
      <c r="C69" s="9">
        <f t="shared" ca="1" si="45"/>
        <v>222.265410767796</v>
      </c>
      <c r="D69" s="6">
        <f t="shared" ca="1" si="37"/>
        <v>0.91833111490149633</v>
      </c>
      <c r="E69" s="6" t="str">
        <f ca="1">LOOKUP(RAND(),{0,0.4,0.7,0.9},{"DEPOSIT","WITHDRAWAL","INQUIRY","LOAN"})</f>
        <v>INQUIRY</v>
      </c>
      <c r="F69" s="6" t="str">
        <f t="shared" ca="1" si="46"/>
        <v>t2</v>
      </c>
      <c r="G69" s="6">
        <f t="shared" ca="1" si="38"/>
        <v>1</v>
      </c>
      <c r="H69" s="6">
        <f t="shared" ca="1" si="47"/>
        <v>222.45607062466368</v>
      </c>
      <c r="I69" s="6">
        <f t="shared" ca="1" si="48"/>
        <v>223.265410767796</v>
      </c>
      <c r="J69" s="6">
        <f t="shared" ca="1" si="49"/>
        <v>220.75663295096803</v>
      </c>
      <c r="K69" s="9">
        <f t="shared" ca="1" si="50"/>
        <v>218.90634504830643</v>
      </c>
      <c r="L69" s="9">
        <f t="shared" ca="1" si="51"/>
        <v>222.265410767796</v>
      </c>
      <c r="M69" s="6">
        <f t="shared" ca="1" si="39"/>
        <v>223.265410767796</v>
      </c>
      <c r="N69" s="6">
        <f t="shared" ca="1" si="52"/>
        <v>0</v>
      </c>
      <c r="O69" s="6">
        <f t="shared" ca="1" si="53"/>
        <v>0</v>
      </c>
      <c r="P69" s="6">
        <f ca="1">COUNTIFS($C$2:C68,"&lt;="&amp;C69,$M$2:M68,"&gt;"&amp;C69)</f>
        <v>1</v>
      </c>
      <c r="Q69" s="9">
        <f t="shared" ca="1" si="40"/>
        <v>0</v>
      </c>
      <c r="R69" s="9">
        <f t="shared" ca="1" si="41"/>
        <v>0</v>
      </c>
      <c r="S69" s="9">
        <f t="shared" ca="1" si="42"/>
        <v>1.5087778168279726</v>
      </c>
      <c r="T69" s="6">
        <f t="shared" ca="1" si="43"/>
        <v>3.3590657194895641</v>
      </c>
      <c r="U69" s="6">
        <f t="shared" ca="1" si="54"/>
        <v>0</v>
      </c>
      <c r="V69" s="8">
        <f t="shared" ca="1" si="55"/>
        <v>1</v>
      </c>
      <c r="W69" s="8">
        <f t="shared" ca="1" si="56"/>
        <v>0</v>
      </c>
      <c r="X69" s="8">
        <f t="shared" ca="1" si="57"/>
        <v>0</v>
      </c>
      <c r="Y69" s="8"/>
      <c r="Z69" s="8"/>
      <c r="AA69" s="8"/>
      <c r="AB69" s="8"/>
      <c r="AC69" s="8"/>
      <c r="AD69" s="8"/>
      <c r="AE69" s="8"/>
      <c r="AF69" s="8"/>
    </row>
    <row r="70" spans="1:32" ht="15" x14ac:dyDescent="0.3">
      <c r="A70" s="6">
        <v>69</v>
      </c>
      <c r="B70" s="6">
        <f t="shared" ca="1" si="44"/>
        <v>0.51110833341354422</v>
      </c>
      <c r="C70" s="9">
        <f t="shared" ca="1" si="45"/>
        <v>222.77651910120954</v>
      </c>
      <c r="D70" s="6">
        <f t="shared" ca="1" si="37"/>
        <v>0.83037454801132582</v>
      </c>
      <c r="E70" s="6" t="str">
        <f ca="1">LOOKUP(RAND(),{0,0.4,0.7,0.9},{"DEPOSIT","WITHDRAWAL","INQUIRY","LOAN"})</f>
        <v>WITHDRAWAL</v>
      </c>
      <c r="F70" s="6" t="str">
        <f t="shared" ca="1" si="46"/>
        <v>t4</v>
      </c>
      <c r="G70" s="6">
        <f t="shared" ca="1" si="38"/>
        <v>1.115270503893723</v>
      </c>
      <c r="H70" s="6">
        <f t="shared" ca="1" si="47"/>
        <v>222.45607062466368</v>
      </c>
      <c r="I70" s="6">
        <f t="shared" ca="1" si="48"/>
        <v>223.265410767796</v>
      </c>
      <c r="J70" s="6">
        <f t="shared" ca="1" si="49"/>
        <v>220.75663295096803</v>
      </c>
      <c r="K70" s="9">
        <f t="shared" ca="1" si="50"/>
        <v>223.89178960510327</v>
      </c>
      <c r="L70" s="9">
        <f t="shared" ca="1" si="51"/>
        <v>222.77651910120954</v>
      </c>
      <c r="M70" s="6">
        <f t="shared" ca="1" si="39"/>
        <v>223.89178960510327</v>
      </c>
      <c r="N70" s="6">
        <f t="shared" ca="1" si="52"/>
        <v>0</v>
      </c>
      <c r="O70" s="6">
        <f t="shared" ca="1" si="53"/>
        <v>0</v>
      </c>
      <c r="P70" s="6">
        <f ca="1">COUNTIFS($C$2:C69,"&lt;="&amp;C70,$M$2:M69,"&gt;"&amp;C70)</f>
        <v>1</v>
      </c>
      <c r="Q70" s="9">
        <f t="shared" ca="1" si="40"/>
        <v>0.32044847654586306</v>
      </c>
      <c r="R70" s="9">
        <f t="shared" ca="1" si="41"/>
        <v>0</v>
      </c>
      <c r="S70" s="9">
        <f t="shared" ca="1" si="42"/>
        <v>2.0198861502415184</v>
      </c>
      <c r="T70" s="6">
        <f t="shared" ca="1" si="43"/>
        <v>0</v>
      </c>
      <c r="U70" s="6">
        <f t="shared" ca="1" si="54"/>
        <v>0</v>
      </c>
      <c r="V70" s="8">
        <f t="shared" ca="1" si="55"/>
        <v>0</v>
      </c>
      <c r="W70" s="8">
        <f t="shared" ca="1" si="56"/>
        <v>0</v>
      </c>
      <c r="X70" s="8">
        <f t="shared" ca="1" si="57"/>
        <v>1.115270503893723</v>
      </c>
      <c r="Y70" s="8"/>
      <c r="Z70" s="8"/>
      <c r="AA70" s="8"/>
      <c r="AB70" s="8"/>
      <c r="AC70" s="8"/>
      <c r="AD70" s="8"/>
      <c r="AE70" s="8"/>
      <c r="AF70" s="8"/>
    </row>
    <row r="71" spans="1:32" ht="15" x14ac:dyDescent="0.3">
      <c r="A71" s="6">
        <v>70</v>
      </c>
      <c r="B71" s="6">
        <f t="shared" ca="1" si="44"/>
        <v>0.45193389958374341</v>
      </c>
      <c r="C71" s="9">
        <f t="shared" ca="1" si="45"/>
        <v>223.22845300079328</v>
      </c>
      <c r="D71" s="6">
        <f t="shared" ca="1" si="37"/>
        <v>0.65364912178538515</v>
      </c>
      <c r="E71" s="6" t="str">
        <f ca="1">LOOKUP(RAND(),{0,0.4,0.7,0.9},{"DEPOSIT","WITHDRAWAL","INQUIRY","LOAN"})</f>
        <v>DEPOSIT</v>
      </c>
      <c r="F71" s="6" t="str">
        <f t="shared" ca="1" si="46"/>
        <v>t3</v>
      </c>
      <c r="G71" s="6">
        <f t="shared" ca="1" si="38"/>
        <v>2.1259229126500045</v>
      </c>
      <c r="H71" s="6">
        <f t="shared" ca="1" si="47"/>
        <v>222.45607062466368</v>
      </c>
      <c r="I71" s="6">
        <f t="shared" ca="1" si="48"/>
        <v>223.265410767796</v>
      </c>
      <c r="J71" s="6">
        <f t="shared" ca="1" si="49"/>
        <v>225.35437591344328</v>
      </c>
      <c r="K71" s="9">
        <f t="shared" ca="1" si="50"/>
        <v>223.89178960510327</v>
      </c>
      <c r="L71" s="9">
        <f t="shared" ca="1" si="51"/>
        <v>223.22845300079328</v>
      </c>
      <c r="M71" s="6">
        <f t="shared" ca="1" si="39"/>
        <v>225.35437591344328</v>
      </c>
      <c r="N71" s="6">
        <f t="shared" ca="1" si="52"/>
        <v>0</v>
      </c>
      <c r="O71" s="6">
        <f t="shared" ca="1" si="53"/>
        <v>0</v>
      </c>
      <c r="P71" s="6">
        <f ca="1">COUNTIFS($C$2:C70,"&lt;="&amp;C71,$M$2:M70,"&gt;"&amp;C71)</f>
        <v>2</v>
      </c>
      <c r="Q71" s="9">
        <f t="shared" ca="1" si="40"/>
        <v>0.77238237612959892</v>
      </c>
      <c r="R71" s="9">
        <f t="shared" ca="1" si="41"/>
        <v>0</v>
      </c>
      <c r="S71" s="9">
        <f t="shared" ca="1" si="42"/>
        <v>0</v>
      </c>
      <c r="T71" s="6">
        <f t="shared" ca="1" si="43"/>
        <v>0</v>
      </c>
      <c r="U71" s="6">
        <f t="shared" ca="1" si="54"/>
        <v>0</v>
      </c>
      <c r="V71" s="8">
        <f t="shared" ca="1" si="55"/>
        <v>0</v>
      </c>
      <c r="W71" s="8">
        <f t="shared" ca="1" si="56"/>
        <v>2.1259229126500045</v>
      </c>
      <c r="X71" s="8">
        <f t="shared" ca="1" si="57"/>
        <v>0</v>
      </c>
      <c r="Y71" s="8"/>
      <c r="Z71" s="8"/>
      <c r="AA71" s="8"/>
      <c r="AB71" s="8"/>
      <c r="AC71" s="8"/>
      <c r="AD71" s="8"/>
      <c r="AE71" s="8"/>
      <c r="AF71" s="8"/>
    </row>
    <row r="72" spans="1:32" ht="15" x14ac:dyDescent="0.3">
      <c r="A72" s="6">
        <v>71</v>
      </c>
      <c r="B72" s="6">
        <f t="shared" ca="1" si="44"/>
        <v>2.6832498406479872</v>
      </c>
      <c r="C72" s="9">
        <f t="shared" ca="1" si="45"/>
        <v>225.91170284144127</v>
      </c>
      <c r="D72" s="6">
        <f t="shared" ca="1" si="37"/>
        <v>0.48749194644730276</v>
      </c>
      <c r="E72" s="6" t="str">
        <f ca="1">LOOKUP(RAND(),{0,0.4,0.7,0.9},{"DEPOSIT","WITHDRAWAL","INQUIRY","LOAN"})</f>
        <v>INQUIRY</v>
      </c>
      <c r="F72" s="6" t="str">
        <f t="shared" ca="1" si="46"/>
        <v>t1</v>
      </c>
      <c r="G72" s="6">
        <f t="shared" ca="1" si="38"/>
        <v>2.8739260351551623</v>
      </c>
      <c r="H72" s="6">
        <f t="shared" ca="1" si="47"/>
        <v>228.78562887659643</v>
      </c>
      <c r="I72" s="6">
        <f t="shared" ca="1" si="48"/>
        <v>223.265410767796</v>
      </c>
      <c r="J72" s="6">
        <f t="shared" ca="1" si="49"/>
        <v>225.35437591344328</v>
      </c>
      <c r="K72" s="9">
        <f t="shared" ca="1" si="50"/>
        <v>223.89178960510327</v>
      </c>
      <c r="L72" s="9">
        <f t="shared" ca="1" si="51"/>
        <v>225.91170284144127</v>
      </c>
      <c r="M72" s="6">
        <f t="shared" ca="1" si="39"/>
        <v>228.78562887659643</v>
      </c>
      <c r="N72" s="6">
        <f t="shared" ca="1" si="52"/>
        <v>0</v>
      </c>
      <c r="O72" s="6">
        <f t="shared" ca="1" si="53"/>
        <v>0</v>
      </c>
      <c r="P72" s="6">
        <f ca="1">COUNTIFS($C$2:C71,"&lt;="&amp;C72,$M$2:M71,"&gt;"&amp;C72)</f>
        <v>0</v>
      </c>
      <c r="Q72" s="9">
        <f t="shared" ca="1" si="40"/>
        <v>0</v>
      </c>
      <c r="R72" s="9">
        <f t="shared" ca="1" si="41"/>
        <v>2.6462920736452702</v>
      </c>
      <c r="S72" s="9">
        <f t="shared" ca="1" si="42"/>
        <v>0.55732692799799111</v>
      </c>
      <c r="T72" s="6">
        <f t="shared" ca="1" si="43"/>
        <v>2.0199132363379988</v>
      </c>
      <c r="U72" s="6">
        <f t="shared" ca="1" si="54"/>
        <v>2.8739260351551623</v>
      </c>
      <c r="V72" s="8">
        <f t="shared" ca="1" si="55"/>
        <v>0</v>
      </c>
      <c r="W72" s="8">
        <f t="shared" ca="1" si="56"/>
        <v>0</v>
      </c>
      <c r="X72" s="8">
        <f t="shared" ca="1" si="57"/>
        <v>0</v>
      </c>
      <c r="Y72" s="8"/>
      <c r="Z72" s="8"/>
      <c r="AA72" s="8"/>
      <c r="AB72" s="8"/>
      <c r="AC72" s="8"/>
      <c r="AD72" s="8"/>
      <c r="AE72" s="8"/>
      <c r="AF72" s="8"/>
    </row>
    <row r="73" spans="1:32" ht="15" x14ac:dyDescent="0.3">
      <c r="A73" s="6">
        <v>72</v>
      </c>
      <c r="B73" s="6">
        <f t="shared" ca="1" si="44"/>
        <v>0.56639026665920622</v>
      </c>
      <c r="C73" s="9">
        <f t="shared" ca="1" si="45"/>
        <v>226.47809310810047</v>
      </c>
      <c r="D73" s="6">
        <f t="shared" ca="1" si="37"/>
        <v>0.41983297972422406</v>
      </c>
      <c r="E73" s="6" t="str">
        <f ca="1">LOOKUP(RAND(),{0,0.4,0.7,0.9},{"DEPOSIT","WITHDRAWAL","INQUIRY","LOAN"})</f>
        <v>DEPOSIT</v>
      </c>
      <c r="F73" s="6" t="str">
        <f t="shared" ca="1" si="46"/>
        <v>t2</v>
      </c>
      <c r="G73" s="6">
        <f t="shared" ca="1" si="38"/>
        <v>4.3394915705930881</v>
      </c>
      <c r="H73" s="6">
        <f t="shared" ca="1" si="47"/>
        <v>228.78562887659643</v>
      </c>
      <c r="I73" s="6">
        <f t="shared" ca="1" si="48"/>
        <v>230.81758467869355</v>
      </c>
      <c r="J73" s="6">
        <f t="shared" ca="1" si="49"/>
        <v>225.35437591344328</v>
      </c>
      <c r="K73" s="9">
        <f t="shared" ca="1" si="50"/>
        <v>223.89178960510327</v>
      </c>
      <c r="L73" s="9">
        <f t="shared" ca="1" si="51"/>
        <v>226.47809310810047</v>
      </c>
      <c r="M73" s="6">
        <f t="shared" ca="1" si="39"/>
        <v>230.81758467869355</v>
      </c>
      <c r="N73" s="6">
        <f t="shared" ca="1" si="52"/>
        <v>0</v>
      </c>
      <c r="O73" s="6">
        <f t="shared" ca="1" si="53"/>
        <v>0</v>
      </c>
      <c r="P73" s="6">
        <f ca="1">COUNTIFS($C$2:C72,"&lt;="&amp;C73,$M$2:M72,"&gt;"&amp;C73)</f>
        <v>1</v>
      </c>
      <c r="Q73" s="9">
        <f t="shared" ca="1" si="40"/>
        <v>0</v>
      </c>
      <c r="R73" s="9">
        <f t="shared" ca="1" si="41"/>
        <v>0</v>
      </c>
      <c r="S73" s="9">
        <f t="shared" ca="1" si="42"/>
        <v>1.1237171946571891</v>
      </c>
      <c r="T73" s="6">
        <f t="shared" ca="1" si="43"/>
        <v>2.5863035029971968</v>
      </c>
      <c r="U73" s="6">
        <f t="shared" ca="1" si="54"/>
        <v>0</v>
      </c>
      <c r="V73" s="8">
        <f t="shared" ca="1" si="55"/>
        <v>4.3394915705930881</v>
      </c>
      <c r="W73" s="8">
        <f t="shared" ca="1" si="56"/>
        <v>0</v>
      </c>
      <c r="X73" s="8">
        <f t="shared" ca="1" si="57"/>
        <v>0</v>
      </c>
      <c r="Y73" s="8"/>
      <c r="Z73" s="8"/>
      <c r="AA73" s="8"/>
      <c r="AB73" s="8"/>
      <c r="AC73" s="8"/>
      <c r="AD73" s="8"/>
      <c r="AE73" s="8"/>
      <c r="AF73" s="8"/>
    </row>
    <row r="74" spans="1:32" ht="15" x14ac:dyDescent="0.3">
      <c r="A74" s="6">
        <v>73</v>
      </c>
      <c r="B74" s="6">
        <f t="shared" ca="1" si="44"/>
        <v>4.102410563111822</v>
      </c>
      <c r="C74" s="9">
        <f t="shared" ca="1" si="45"/>
        <v>230.58050367121228</v>
      </c>
      <c r="D74" s="6">
        <f t="shared" ca="1" si="37"/>
        <v>0.92295541507657175</v>
      </c>
      <c r="E74" s="6" t="str">
        <f ca="1">LOOKUP(RAND(),{0,0.4,0.7,0.9},{"DEPOSIT","WITHDRAWAL","INQUIRY","LOAN"})</f>
        <v>INQUIRY</v>
      </c>
      <c r="F74" s="6" t="str">
        <f t="shared" ca="1" si="46"/>
        <v>t4</v>
      </c>
      <c r="G74" s="6">
        <f t="shared" ca="1" si="38"/>
        <v>1</v>
      </c>
      <c r="H74" s="6">
        <f t="shared" ca="1" si="47"/>
        <v>228.78562887659643</v>
      </c>
      <c r="I74" s="6">
        <f t="shared" ca="1" si="48"/>
        <v>230.81758467869355</v>
      </c>
      <c r="J74" s="6">
        <f t="shared" ca="1" si="49"/>
        <v>225.35437591344328</v>
      </c>
      <c r="K74" s="9">
        <f t="shared" ca="1" si="50"/>
        <v>231.58050367121228</v>
      </c>
      <c r="L74" s="9">
        <f t="shared" ca="1" si="51"/>
        <v>230.58050367121228</v>
      </c>
      <c r="M74" s="6">
        <f t="shared" ca="1" si="39"/>
        <v>231.58050367121228</v>
      </c>
      <c r="N74" s="6">
        <f t="shared" ca="1" si="52"/>
        <v>0</v>
      </c>
      <c r="O74" s="6">
        <f t="shared" ca="1" si="53"/>
        <v>0</v>
      </c>
      <c r="P74" s="6">
        <f ca="1">COUNTIFS($C$2:C73,"&lt;="&amp;C74,$M$2:M73,"&gt;"&amp;C74)</f>
        <v>1</v>
      </c>
      <c r="Q74" s="9">
        <f t="shared" ca="1" si="40"/>
        <v>1.7948747946158505</v>
      </c>
      <c r="R74" s="9">
        <f t="shared" ca="1" si="41"/>
        <v>0</v>
      </c>
      <c r="S74" s="9">
        <f t="shared" ca="1" si="42"/>
        <v>5.2261277577690066</v>
      </c>
      <c r="T74" s="6">
        <f t="shared" ca="1" si="43"/>
        <v>0</v>
      </c>
      <c r="U74" s="6">
        <f t="shared" ca="1" si="54"/>
        <v>0</v>
      </c>
      <c r="V74" s="8">
        <f t="shared" ca="1" si="55"/>
        <v>0</v>
      </c>
      <c r="W74" s="8">
        <f t="shared" ca="1" si="56"/>
        <v>0</v>
      </c>
      <c r="X74" s="8">
        <f t="shared" ca="1" si="57"/>
        <v>1</v>
      </c>
      <c r="Y74" s="8"/>
      <c r="Z74" s="8"/>
      <c r="AA74" s="8"/>
      <c r="AB74" s="8"/>
      <c r="AC74" s="8"/>
      <c r="AD74" s="8"/>
      <c r="AE74" s="8"/>
      <c r="AF74" s="8"/>
    </row>
    <row r="75" spans="1:32" ht="15" x14ac:dyDescent="0.3">
      <c r="A75" s="6">
        <v>74</v>
      </c>
      <c r="B75" s="6">
        <f t="shared" ca="1" si="44"/>
        <v>0.50044259891349796</v>
      </c>
      <c r="C75" s="9">
        <f t="shared" ca="1" si="45"/>
        <v>231.08094627012579</v>
      </c>
      <c r="D75" s="6">
        <f t="shared" ca="1" si="37"/>
        <v>0.54597327089238679</v>
      </c>
      <c r="E75" s="6" t="str">
        <f ca="1">LOOKUP(RAND(),{0,0.4,0.7,0.9},{"DEPOSIT","WITHDRAWAL","INQUIRY","LOAN"})</f>
        <v>WITHDRAWAL</v>
      </c>
      <c r="F75" s="6" t="str">
        <f t="shared" ca="1" si="46"/>
        <v>t3</v>
      </c>
      <c r="G75" s="6">
        <f t="shared" ca="1" si="38"/>
        <v>3.6311115530705171</v>
      </c>
      <c r="H75" s="6">
        <f t="shared" ca="1" si="47"/>
        <v>228.78562887659643</v>
      </c>
      <c r="I75" s="6">
        <f t="shared" ca="1" si="48"/>
        <v>230.81758467869355</v>
      </c>
      <c r="J75" s="6">
        <f t="shared" ca="1" si="49"/>
        <v>234.71205782319632</v>
      </c>
      <c r="K75" s="9">
        <f t="shared" ca="1" si="50"/>
        <v>231.58050367121228</v>
      </c>
      <c r="L75" s="9">
        <f t="shared" ca="1" si="51"/>
        <v>231.08094627012579</v>
      </c>
      <c r="M75" s="6">
        <f t="shared" ca="1" si="39"/>
        <v>234.71205782319632</v>
      </c>
      <c r="N75" s="6">
        <f t="shared" ca="1" si="52"/>
        <v>0</v>
      </c>
      <c r="O75" s="6">
        <f t="shared" ca="1" si="53"/>
        <v>0</v>
      </c>
      <c r="P75" s="6">
        <f ca="1">COUNTIFS($C$2:C74,"&lt;="&amp;C75,$M$2:M74,"&gt;"&amp;C75)</f>
        <v>1</v>
      </c>
      <c r="Q75" s="9">
        <f t="shared" ca="1" si="40"/>
        <v>2.2953173935293592</v>
      </c>
      <c r="R75" s="9">
        <f t="shared" ca="1" si="41"/>
        <v>0.26336159143224336</v>
      </c>
      <c r="S75" s="9">
        <f t="shared" ca="1" si="42"/>
        <v>0</v>
      </c>
      <c r="T75" s="6">
        <f t="shared" ca="1" si="43"/>
        <v>0</v>
      </c>
      <c r="U75" s="6">
        <f t="shared" ca="1" si="54"/>
        <v>0</v>
      </c>
      <c r="V75" s="8">
        <f t="shared" ca="1" si="55"/>
        <v>0</v>
      </c>
      <c r="W75" s="8">
        <f t="shared" ca="1" si="56"/>
        <v>3.6311115530705171</v>
      </c>
      <c r="X75" s="8">
        <f t="shared" ca="1" si="57"/>
        <v>0</v>
      </c>
      <c r="Y75" s="8"/>
      <c r="Z75" s="8"/>
      <c r="AA75" s="8"/>
      <c r="AB75" s="8"/>
      <c r="AC75" s="8"/>
      <c r="AD75" s="8"/>
      <c r="AE75" s="8"/>
      <c r="AF75" s="8"/>
    </row>
    <row r="76" spans="1:32" ht="15" x14ac:dyDescent="0.3">
      <c r="A76" s="6">
        <v>75</v>
      </c>
      <c r="B76" s="6">
        <f t="shared" ca="1" si="44"/>
        <v>5.0278173807689432</v>
      </c>
      <c r="C76" s="9">
        <f t="shared" ca="1" si="45"/>
        <v>236.10876365089473</v>
      </c>
      <c r="D76" s="6">
        <f t="shared" ca="1" si="37"/>
        <v>7.16009852241557E-2</v>
      </c>
      <c r="E76" s="6" t="str">
        <f ca="1">LOOKUP(RAND(),{0,0.4,0.7,0.9},{"DEPOSIT","WITHDRAWAL","INQUIRY","LOAN"})</f>
        <v>DEPOSIT</v>
      </c>
      <c r="F76" s="6" t="str">
        <f t="shared" ca="1" si="46"/>
        <v>t1</v>
      </c>
      <c r="G76" s="6">
        <f t="shared" ca="1" si="38"/>
        <v>13.1832322249815</v>
      </c>
      <c r="H76" s="6">
        <f t="shared" ca="1" si="47"/>
        <v>249.29199587587624</v>
      </c>
      <c r="I76" s="6">
        <f t="shared" ca="1" si="48"/>
        <v>230.81758467869355</v>
      </c>
      <c r="J76" s="6">
        <f t="shared" ca="1" si="49"/>
        <v>234.71205782319632</v>
      </c>
      <c r="K76" s="9">
        <f t="shared" ca="1" si="50"/>
        <v>231.58050367121228</v>
      </c>
      <c r="L76" s="9">
        <f t="shared" ca="1" si="51"/>
        <v>236.10876365089473</v>
      </c>
      <c r="M76" s="6">
        <f t="shared" ca="1" si="39"/>
        <v>249.29199587587624</v>
      </c>
      <c r="N76" s="6">
        <f t="shared" ca="1" si="52"/>
        <v>0</v>
      </c>
      <c r="O76" s="6">
        <f t="shared" ca="1" si="53"/>
        <v>0</v>
      </c>
      <c r="P76" s="6">
        <f ca="1">COUNTIFS($C$2:C75,"&lt;="&amp;C76,$M$2:M75,"&gt;"&amp;C76)</f>
        <v>0</v>
      </c>
      <c r="Q76" s="9">
        <f t="shared" ca="1" si="40"/>
        <v>0</v>
      </c>
      <c r="R76" s="9">
        <f t="shared" ca="1" si="41"/>
        <v>5.2911789722011804</v>
      </c>
      <c r="S76" s="9">
        <f t="shared" ca="1" si="42"/>
        <v>1.3967058276984119</v>
      </c>
      <c r="T76" s="6">
        <f t="shared" ca="1" si="43"/>
        <v>4.5282599796824456</v>
      </c>
      <c r="U76" s="6">
        <f t="shared" ca="1" si="54"/>
        <v>13.1832322249815</v>
      </c>
      <c r="V76" s="8">
        <f t="shared" ca="1" si="55"/>
        <v>0</v>
      </c>
      <c r="W76" s="8">
        <f t="shared" ca="1" si="56"/>
        <v>0</v>
      </c>
      <c r="X76" s="8">
        <f t="shared" ca="1" si="57"/>
        <v>0</v>
      </c>
      <c r="Y76" s="8"/>
      <c r="Z76" s="8"/>
      <c r="AA76" s="8"/>
      <c r="AB76" s="8"/>
      <c r="AC76" s="8"/>
      <c r="AD76" s="8"/>
      <c r="AE76" s="8"/>
      <c r="AF76" s="8"/>
    </row>
    <row r="77" spans="1:32" ht="15" x14ac:dyDescent="0.3">
      <c r="A77" s="6">
        <v>76</v>
      </c>
      <c r="B77" s="6">
        <f t="shared" ca="1" si="44"/>
        <v>3.8053593619340531</v>
      </c>
      <c r="C77" s="9">
        <f t="shared" ca="1" si="45"/>
        <v>239.91412301282878</v>
      </c>
      <c r="D77" s="6">
        <f t="shared" ca="1" si="37"/>
        <v>9.5699381675948603E-2</v>
      </c>
      <c r="E77" s="6" t="str">
        <f ca="1">LOOKUP(RAND(),{0,0.4,0.7,0.9},{"DEPOSIT","WITHDRAWAL","INQUIRY","LOAN"})</f>
        <v>DEPOSIT</v>
      </c>
      <c r="F77" s="6" t="str">
        <f t="shared" ca="1" si="46"/>
        <v>t2</v>
      </c>
      <c r="G77" s="6">
        <f t="shared" ca="1" si="38"/>
        <v>11.732717208052346</v>
      </c>
      <c r="H77" s="6">
        <f t="shared" ca="1" si="47"/>
        <v>249.29199587587624</v>
      </c>
      <c r="I77" s="6">
        <f t="shared" ca="1" si="48"/>
        <v>251.64684022088113</v>
      </c>
      <c r="J77" s="6">
        <f t="shared" ca="1" si="49"/>
        <v>234.71205782319632</v>
      </c>
      <c r="K77" s="9">
        <f t="shared" ca="1" si="50"/>
        <v>231.58050367121228</v>
      </c>
      <c r="L77" s="9">
        <f t="shared" ca="1" si="51"/>
        <v>239.91412301282878</v>
      </c>
      <c r="M77" s="6">
        <f t="shared" ca="1" si="39"/>
        <v>251.64684022088113</v>
      </c>
      <c r="N77" s="6">
        <f t="shared" ca="1" si="52"/>
        <v>0</v>
      </c>
      <c r="O77" s="6">
        <f t="shared" ca="1" si="53"/>
        <v>0</v>
      </c>
      <c r="P77" s="6">
        <f ca="1">COUNTIFS($C$2:C76,"&lt;="&amp;C77,$M$2:M76,"&gt;"&amp;C77)</f>
        <v>1</v>
      </c>
      <c r="Q77" s="9">
        <f t="shared" ca="1" si="40"/>
        <v>0</v>
      </c>
      <c r="R77" s="9">
        <f t="shared" ca="1" si="41"/>
        <v>0</v>
      </c>
      <c r="S77" s="9">
        <f t="shared" ca="1" si="42"/>
        <v>5.2020651896324637</v>
      </c>
      <c r="T77" s="6">
        <f t="shared" ca="1" si="43"/>
        <v>8.3336193416164974</v>
      </c>
      <c r="U77" s="6">
        <f t="shared" ca="1" si="54"/>
        <v>0</v>
      </c>
      <c r="V77" s="8">
        <f t="shared" ca="1" si="55"/>
        <v>11.732717208052346</v>
      </c>
      <c r="W77" s="8">
        <f t="shared" ca="1" si="56"/>
        <v>0</v>
      </c>
      <c r="X77" s="8">
        <f t="shared" ca="1" si="57"/>
        <v>0</v>
      </c>
      <c r="Y77" s="8"/>
      <c r="Z77" s="8"/>
      <c r="AA77" s="8"/>
      <c r="AB77" s="8"/>
      <c r="AC77" s="8"/>
      <c r="AD77" s="8"/>
      <c r="AE77" s="8"/>
      <c r="AF77" s="8"/>
    </row>
    <row r="78" spans="1:32" ht="15" x14ac:dyDescent="0.3">
      <c r="A78" s="6">
        <v>77</v>
      </c>
      <c r="B78" s="6">
        <f t="shared" ca="1" si="44"/>
        <v>4.9875533523986899</v>
      </c>
      <c r="C78" s="9">
        <f t="shared" ca="1" si="45"/>
        <v>244.90167636522747</v>
      </c>
      <c r="D78" s="6">
        <f t="shared" ca="1" si="37"/>
        <v>0.31215453614899547</v>
      </c>
      <c r="E78" s="6" t="str">
        <f ca="1">LOOKUP(RAND(),{0,0.4,0.7,0.9},{"DEPOSIT","WITHDRAWAL","INQUIRY","LOAN"})</f>
        <v>WITHDRAWAL</v>
      </c>
      <c r="F78" s="6" t="str">
        <f t="shared" ca="1" si="46"/>
        <v>t4</v>
      </c>
      <c r="G78" s="6">
        <f t="shared" ca="1" si="38"/>
        <v>6.9855414337643955</v>
      </c>
      <c r="H78" s="6">
        <f t="shared" ca="1" si="47"/>
        <v>249.29199587587624</v>
      </c>
      <c r="I78" s="6">
        <f t="shared" ca="1" si="48"/>
        <v>251.64684022088113</v>
      </c>
      <c r="J78" s="6">
        <f t="shared" ca="1" si="49"/>
        <v>234.71205782319632</v>
      </c>
      <c r="K78" s="9">
        <f t="shared" ca="1" si="50"/>
        <v>251.88721779899186</v>
      </c>
      <c r="L78" s="9">
        <f t="shared" ca="1" si="51"/>
        <v>244.90167636522747</v>
      </c>
      <c r="M78" s="6">
        <f t="shared" ca="1" si="39"/>
        <v>251.88721779899186</v>
      </c>
      <c r="N78" s="6">
        <f t="shared" ca="1" si="52"/>
        <v>0</v>
      </c>
      <c r="O78" s="6">
        <f t="shared" ca="1" si="53"/>
        <v>0</v>
      </c>
      <c r="P78" s="6">
        <f ca="1">COUNTIFS($C$2:C77,"&lt;="&amp;C78,$M$2:M77,"&gt;"&amp;C78)</f>
        <v>2</v>
      </c>
      <c r="Q78" s="9">
        <f t="shared" ca="1" si="40"/>
        <v>0</v>
      </c>
      <c r="R78" s="9">
        <f t="shared" ca="1" si="41"/>
        <v>0</v>
      </c>
      <c r="S78" s="9">
        <f t="shared" ca="1" si="42"/>
        <v>10.189618542031155</v>
      </c>
      <c r="T78" s="6">
        <f t="shared" ca="1" si="43"/>
        <v>0</v>
      </c>
      <c r="U78" s="6">
        <f t="shared" ca="1" si="54"/>
        <v>0</v>
      </c>
      <c r="V78" s="8">
        <f t="shared" ca="1" si="55"/>
        <v>0</v>
      </c>
      <c r="W78" s="8">
        <f t="shared" ca="1" si="56"/>
        <v>0</v>
      </c>
      <c r="X78" s="8">
        <f t="shared" ca="1" si="57"/>
        <v>6.9855414337643955</v>
      </c>
      <c r="Y78" s="8"/>
      <c r="Z78" s="8"/>
      <c r="AA78" s="8"/>
      <c r="AB78" s="8"/>
      <c r="AC78" s="8"/>
      <c r="AD78" s="8"/>
      <c r="AE78" s="8"/>
      <c r="AF78" s="8"/>
    </row>
    <row r="79" spans="1:32" ht="15" x14ac:dyDescent="0.3">
      <c r="A79" s="6">
        <v>78</v>
      </c>
      <c r="B79" s="6">
        <f t="shared" ca="1" si="44"/>
        <v>1.8131163542112321</v>
      </c>
      <c r="C79" s="9">
        <f t="shared" ca="1" si="45"/>
        <v>246.71479271943872</v>
      </c>
      <c r="D79" s="6">
        <f t="shared" ca="1" si="37"/>
        <v>0.36152386744200615</v>
      </c>
      <c r="E79" s="6" t="str">
        <f ca="1">LOOKUP(RAND(),{0,0.4,0.7,0.9},{"DEPOSIT","WITHDRAWAL","INQUIRY","LOAN"})</f>
        <v>DEPOSIT</v>
      </c>
      <c r="F79" s="6" t="str">
        <f t="shared" ca="1" si="46"/>
        <v>t3</v>
      </c>
      <c r="G79" s="6">
        <f t="shared" ca="1" si="38"/>
        <v>5.0871360810502466</v>
      </c>
      <c r="H79" s="6">
        <f t="shared" ca="1" si="47"/>
        <v>249.29199587587624</v>
      </c>
      <c r="I79" s="6">
        <f t="shared" ca="1" si="48"/>
        <v>251.64684022088113</v>
      </c>
      <c r="J79" s="6">
        <f t="shared" ca="1" si="49"/>
        <v>251.80192880048895</v>
      </c>
      <c r="K79" s="9">
        <f t="shared" ca="1" si="50"/>
        <v>251.88721779899186</v>
      </c>
      <c r="L79" s="9">
        <f t="shared" ca="1" si="51"/>
        <v>246.71479271943872</v>
      </c>
      <c r="M79" s="6">
        <f t="shared" ca="1" si="39"/>
        <v>251.80192880048895</v>
      </c>
      <c r="N79" s="6">
        <f t="shared" ca="1" si="52"/>
        <v>0</v>
      </c>
      <c r="O79" s="6">
        <f t="shared" ca="1" si="53"/>
        <v>0</v>
      </c>
      <c r="P79" s="6">
        <f ca="1">COUNTIFS($C$2:C78,"&lt;="&amp;C79,$M$2:M78,"&gt;"&amp;C79)</f>
        <v>3</v>
      </c>
      <c r="Q79" s="9">
        <f t="shared" ca="1" si="40"/>
        <v>0</v>
      </c>
      <c r="R79" s="9">
        <f t="shared" ca="1" si="41"/>
        <v>0</v>
      </c>
      <c r="S79" s="9">
        <f t="shared" ca="1" si="42"/>
        <v>0</v>
      </c>
      <c r="T79" s="6">
        <f t="shared" ca="1" si="43"/>
        <v>0</v>
      </c>
      <c r="U79" s="6">
        <f t="shared" ca="1" si="54"/>
        <v>0</v>
      </c>
      <c r="V79" s="8">
        <f t="shared" ca="1" si="55"/>
        <v>0</v>
      </c>
      <c r="W79" s="8">
        <f t="shared" ca="1" si="56"/>
        <v>5.0871360810502466</v>
      </c>
      <c r="X79" s="8">
        <f t="shared" ca="1" si="57"/>
        <v>0</v>
      </c>
      <c r="Y79" s="8"/>
      <c r="Z79" s="8"/>
      <c r="AA79" s="8"/>
      <c r="AB79" s="8"/>
      <c r="AC79" s="8"/>
      <c r="AD79" s="8"/>
      <c r="AE79" s="8"/>
      <c r="AF79" s="8"/>
    </row>
    <row r="80" spans="1:32" ht="15" x14ac:dyDescent="0.3">
      <c r="A80" s="6">
        <v>79</v>
      </c>
      <c r="B80" s="6">
        <f t="shared" ca="1" si="44"/>
        <v>1.8789210262727043</v>
      </c>
      <c r="C80" s="9">
        <f t="shared" ca="1" si="45"/>
        <v>248.59371374571143</v>
      </c>
      <c r="D80" s="6">
        <f t="shared" ca="1" si="37"/>
        <v>9.9159211118591606E-2</v>
      </c>
      <c r="E80" s="6" t="str">
        <f ca="1">LOOKUP(RAND(),{0,0.4,0.7,0.9},{"DEPOSIT","WITHDRAWAL","INQUIRY","LOAN"})</f>
        <v>DEPOSIT</v>
      </c>
      <c r="F80" s="6" t="str">
        <f t="shared" ca="1" si="46"/>
        <v>t1</v>
      </c>
      <c r="G80" s="6">
        <f t="shared" ca="1" si="38"/>
        <v>11.555142637441328</v>
      </c>
      <c r="H80" s="6">
        <f t="shared" ca="1" si="47"/>
        <v>260.84713851331759</v>
      </c>
      <c r="I80" s="6">
        <f t="shared" ca="1" si="48"/>
        <v>251.64684022088113</v>
      </c>
      <c r="J80" s="6">
        <f t="shared" ca="1" si="49"/>
        <v>251.80192880048895</v>
      </c>
      <c r="K80" s="9">
        <f t="shared" ca="1" si="50"/>
        <v>251.88721779899186</v>
      </c>
      <c r="L80" s="9">
        <f t="shared" ca="1" si="51"/>
        <v>249.29199587587624</v>
      </c>
      <c r="M80" s="6">
        <f t="shared" ca="1" si="39"/>
        <v>260.84713851331759</v>
      </c>
      <c r="N80" s="6">
        <f t="shared" ca="1" si="52"/>
        <v>0.698282130164813</v>
      </c>
      <c r="O80" s="6">
        <f t="shared" ca="1" si="53"/>
        <v>1</v>
      </c>
      <c r="P80" s="6">
        <f ca="1">COUNTIFS($C$2:C79,"&lt;="&amp;C80,$M$2:M79,"&gt;"&amp;C80)</f>
        <v>4</v>
      </c>
      <c r="Q80" s="9">
        <f t="shared" ca="1" si="40"/>
        <v>0</v>
      </c>
      <c r="R80" s="9">
        <f t="shared" ca="1" si="41"/>
        <v>0</v>
      </c>
      <c r="S80" s="9">
        <f t="shared" ca="1" si="42"/>
        <v>0</v>
      </c>
      <c r="T80" s="6">
        <f t="shared" ca="1" si="43"/>
        <v>0</v>
      </c>
      <c r="U80" s="6">
        <f t="shared" ca="1" si="54"/>
        <v>11.555142637441328</v>
      </c>
      <c r="V80" s="8">
        <f t="shared" ca="1" si="55"/>
        <v>0</v>
      </c>
      <c r="W80" s="8">
        <f t="shared" ca="1" si="56"/>
        <v>0</v>
      </c>
      <c r="X80" s="8">
        <f t="shared" ca="1" si="57"/>
        <v>0</v>
      </c>
      <c r="Y80" s="8"/>
      <c r="Z80" s="8"/>
      <c r="AA80" s="8"/>
      <c r="AB80" s="8"/>
      <c r="AC80" s="8"/>
      <c r="AD80" s="8"/>
      <c r="AE80" s="8"/>
      <c r="AF80" s="8"/>
    </row>
    <row r="81" spans="1:32" ht="15" x14ac:dyDescent="0.3">
      <c r="A81" s="6">
        <v>80</v>
      </c>
      <c r="B81" s="6">
        <f t="shared" ca="1" si="44"/>
        <v>5.6442626874699222</v>
      </c>
      <c r="C81" s="9">
        <f t="shared" ca="1" si="45"/>
        <v>254.23797643318136</v>
      </c>
      <c r="D81" s="6">
        <f t="shared" ca="1" si="37"/>
        <v>0.71963124139634926</v>
      </c>
      <c r="E81" s="6" t="str">
        <f ca="1">LOOKUP(RAND(),{0,0.4,0.7,0.9},{"DEPOSIT","WITHDRAWAL","INQUIRY","LOAN"})</f>
        <v>DEPOSIT</v>
      </c>
      <c r="F81" s="6" t="str">
        <f t="shared" ca="1" si="46"/>
        <v>t2</v>
      </c>
      <c r="G81" s="6">
        <f t="shared" ca="1" si="38"/>
        <v>1.6450818145024118</v>
      </c>
      <c r="H81" s="6">
        <f t="shared" ca="1" si="47"/>
        <v>260.84713851331759</v>
      </c>
      <c r="I81" s="6">
        <f t="shared" ca="1" si="48"/>
        <v>255.88305824768378</v>
      </c>
      <c r="J81" s="6">
        <f t="shared" ca="1" si="49"/>
        <v>251.80192880048895</v>
      </c>
      <c r="K81" s="9">
        <f t="shared" ca="1" si="50"/>
        <v>251.88721779899186</v>
      </c>
      <c r="L81" s="9">
        <f t="shared" ca="1" si="51"/>
        <v>254.23797643318136</v>
      </c>
      <c r="M81" s="6">
        <f t="shared" ca="1" si="39"/>
        <v>255.88305824768378</v>
      </c>
      <c r="N81" s="6">
        <f t="shared" ca="1" si="52"/>
        <v>0</v>
      </c>
      <c r="O81" s="6">
        <f t="shared" ca="1" si="53"/>
        <v>0</v>
      </c>
      <c r="P81" s="6">
        <f ca="1">COUNTIFS($C$2:C80,"&lt;="&amp;C81,$M$2:M80,"&gt;"&amp;C81)</f>
        <v>1</v>
      </c>
      <c r="Q81" s="9">
        <f t="shared" ca="1" si="40"/>
        <v>0</v>
      </c>
      <c r="R81" s="9">
        <f t="shared" ca="1" si="41"/>
        <v>0</v>
      </c>
      <c r="S81" s="9">
        <f t="shared" ca="1" si="42"/>
        <v>2.4360476326924072</v>
      </c>
      <c r="T81" s="6">
        <f t="shared" ca="1" si="43"/>
        <v>2.3507586341895035</v>
      </c>
      <c r="U81" s="6">
        <f t="shared" ca="1" si="54"/>
        <v>0</v>
      </c>
      <c r="V81" s="8">
        <f t="shared" ca="1" si="55"/>
        <v>1.6450818145024118</v>
      </c>
      <c r="W81" s="8">
        <f t="shared" ca="1" si="56"/>
        <v>0</v>
      </c>
      <c r="X81" s="8">
        <f t="shared" ca="1" si="57"/>
        <v>0</v>
      </c>
      <c r="Y81" s="8"/>
      <c r="Z81" s="8"/>
      <c r="AA81" s="8"/>
      <c r="AB81" s="8"/>
      <c r="AC81" s="8"/>
      <c r="AD81" s="8"/>
      <c r="AE81" s="8"/>
      <c r="AF81" s="8"/>
    </row>
    <row r="82" spans="1:32" ht="15" x14ac:dyDescent="0.3">
      <c r="A82" s="6">
        <v>81</v>
      </c>
      <c r="B82" s="6">
        <f t="shared" ca="1" si="44"/>
        <v>3.1724608286409421</v>
      </c>
      <c r="C82" s="9">
        <f t="shared" ca="1" si="45"/>
        <v>257.41043726182232</v>
      </c>
      <c r="D82" s="6">
        <f t="shared" ca="1" si="37"/>
        <v>0.36236301235971813</v>
      </c>
      <c r="E82" s="6" t="str">
        <f ca="1">LOOKUP(RAND(),{0,0.4,0.7,0.9},{"DEPOSIT","WITHDRAWAL","INQUIRY","LOAN"})</f>
        <v>DEPOSIT</v>
      </c>
      <c r="F82" s="6" t="str">
        <f t="shared" ca="1" si="46"/>
        <v>t3</v>
      </c>
      <c r="G82" s="6">
        <f t="shared" ca="1" si="38"/>
        <v>5.0755438652357912</v>
      </c>
      <c r="H82" s="6">
        <f t="shared" ca="1" si="47"/>
        <v>260.84713851331759</v>
      </c>
      <c r="I82" s="6">
        <f t="shared" ca="1" si="48"/>
        <v>255.88305824768378</v>
      </c>
      <c r="J82" s="6">
        <f t="shared" ca="1" si="49"/>
        <v>262.4859811270581</v>
      </c>
      <c r="K82" s="9">
        <f t="shared" ca="1" si="50"/>
        <v>251.88721779899186</v>
      </c>
      <c r="L82" s="9">
        <f t="shared" ca="1" si="51"/>
        <v>257.41043726182232</v>
      </c>
      <c r="M82" s="6">
        <f t="shared" ca="1" si="39"/>
        <v>262.4859811270581</v>
      </c>
      <c r="N82" s="6">
        <f t="shared" ca="1" si="52"/>
        <v>0</v>
      </c>
      <c r="O82" s="6">
        <f t="shared" ca="1" si="53"/>
        <v>0</v>
      </c>
      <c r="P82" s="6">
        <f ca="1">COUNTIFS($C$2:C81,"&lt;="&amp;C82,$M$2:M81,"&gt;"&amp;C82)</f>
        <v>1</v>
      </c>
      <c r="Q82" s="9">
        <f t="shared" ca="1" si="40"/>
        <v>0</v>
      </c>
      <c r="R82" s="9">
        <f t="shared" ca="1" si="41"/>
        <v>1.5273790141385462</v>
      </c>
      <c r="S82" s="9">
        <f t="shared" ca="1" si="42"/>
        <v>0</v>
      </c>
      <c r="T82" s="6">
        <f t="shared" ca="1" si="43"/>
        <v>5.5232194628304683</v>
      </c>
      <c r="U82" s="6">
        <f t="shared" ca="1" si="54"/>
        <v>0</v>
      </c>
      <c r="V82" s="8">
        <f t="shared" ca="1" si="55"/>
        <v>0</v>
      </c>
      <c r="W82" s="8">
        <f t="shared" ca="1" si="56"/>
        <v>5.0755438652357912</v>
      </c>
      <c r="X82" s="8">
        <f t="shared" ca="1" si="57"/>
        <v>0</v>
      </c>
      <c r="Y82" s="8"/>
      <c r="Z82" s="8"/>
      <c r="AA82" s="8"/>
      <c r="AB82" s="8"/>
      <c r="AC82" s="8"/>
      <c r="AD82" s="8"/>
      <c r="AE82" s="8"/>
      <c r="AF82" s="8"/>
    </row>
    <row r="83" spans="1:32" ht="15" x14ac:dyDescent="0.3">
      <c r="A83" s="6">
        <v>82</v>
      </c>
      <c r="B83" s="6">
        <f t="shared" ca="1" si="44"/>
        <v>4.1594539423132657</v>
      </c>
      <c r="C83" s="9">
        <f t="shared" ca="1" si="45"/>
        <v>261.56989120413562</v>
      </c>
      <c r="D83" s="6">
        <f t="shared" ca="1" si="37"/>
        <v>0.31619801706333794</v>
      </c>
      <c r="E83" s="6" t="str">
        <f ca="1">LOOKUP(RAND(),{0,0.4,0.7,0.9},{"DEPOSIT","WITHDRAWAL","INQUIRY","LOAN"})</f>
        <v>INQUIRY</v>
      </c>
      <c r="F83" s="6" t="str">
        <f t="shared" ca="1" si="46"/>
        <v>t4</v>
      </c>
      <c r="G83" s="6">
        <f t="shared" ca="1" si="38"/>
        <v>4.605546501493472</v>
      </c>
      <c r="H83" s="6">
        <f t="shared" ca="1" si="47"/>
        <v>260.84713851331759</v>
      </c>
      <c r="I83" s="6">
        <f t="shared" ca="1" si="48"/>
        <v>255.88305824768378</v>
      </c>
      <c r="J83" s="6">
        <f t="shared" ca="1" si="49"/>
        <v>262.4859811270581</v>
      </c>
      <c r="K83" s="9">
        <f t="shared" ca="1" si="50"/>
        <v>266.17543770562907</v>
      </c>
      <c r="L83" s="9">
        <f t="shared" ca="1" si="51"/>
        <v>261.56989120413562</v>
      </c>
      <c r="M83" s="6">
        <f t="shared" ca="1" si="39"/>
        <v>266.17543770562907</v>
      </c>
      <c r="N83" s="6">
        <f t="shared" ca="1" si="52"/>
        <v>0</v>
      </c>
      <c r="O83" s="6">
        <f t="shared" ca="1" si="53"/>
        <v>0</v>
      </c>
      <c r="P83" s="6">
        <f ca="1">COUNTIFS($C$2:C82,"&lt;="&amp;C83,$M$2:M82,"&gt;"&amp;C83)</f>
        <v>1</v>
      </c>
      <c r="Q83" s="9">
        <f t="shared" ca="1" si="40"/>
        <v>0.72275269081802662</v>
      </c>
      <c r="R83" s="9">
        <f t="shared" ca="1" si="41"/>
        <v>5.6868329564518376</v>
      </c>
      <c r="S83" s="9">
        <f t="shared" ca="1" si="42"/>
        <v>0</v>
      </c>
      <c r="T83" s="6">
        <f t="shared" ca="1" si="43"/>
        <v>0</v>
      </c>
      <c r="U83" s="6">
        <f t="shared" ca="1" si="54"/>
        <v>0</v>
      </c>
      <c r="V83" s="8">
        <f t="shared" ca="1" si="55"/>
        <v>0</v>
      </c>
      <c r="W83" s="8">
        <f t="shared" ca="1" si="56"/>
        <v>0</v>
      </c>
      <c r="X83" s="8">
        <f t="shared" ca="1" si="57"/>
        <v>4.605546501493472</v>
      </c>
      <c r="Y83" s="8"/>
      <c r="Z83" s="8"/>
      <c r="AA83" s="8"/>
      <c r="AB83" s="8"/>
      <c r="AC83" s="8"/>
      <c r="AD83" s="8"/>
      <c r="AE83" s="8"/>
      <c r="AF83" s="8"/>
    </row>
    <row r="84" spans="1:32" ht="15" x14ac:dyDescent="0.3">
      <c r="A84" s="6">
        <v>83</v>
      </c>
      <c r="B84" s="6">
        <f t="shared" ca="1" si="44"/>
        <v>0.53954738123464152</v>
      </c>
      <c r="C84" s="9">
        <f t="shared" ca="1" si="45"/>
        <v>262.10943858537024</v>
      </c>
      <c r="D84" s="6">
        <f t="shared" ca="1" si="37"/>
        <v>0.68458467486211383</v>
      </c>
      <c r="E84" s="6" t="str">
        <f ca="1">LOOKUP(RAND(),{0,0.4,0.7,0.9},{"DEPOSIT","WITHDRAWAL","INQUIRY","LOAN"})</f>
        <v>DEPOSIT</v>
      </c>
      <c r="F84" s="6" t="str">
        <f t="shared" ca="1" si="46"/>
        <v>t2</v>
      </c>
      <c r="G84" s="6">
        <f t="shared" ca="1" si="38"/>
        <v>1.8947146933626258</v>
      </c>
      <c r="H84" s="6">
        <f t="shared" ca="1" si="47"/>
        <v>260.84713851331759</v>
      </c>
      <c r="I84" s="6">
        <f t="shared" ca="1" si="48"/>
        <v>264.00415327873287</v>
      </c>
      <c r="J84" s="6">
        <f t="shared" ca="1" si="49"/>
        <v>262.4859811270581</v>
      </c>
      <c r="K84" s="9">
        <f t="shared" ca="1" si="50"/>
        <v>266.17543770562907</v>
      </c>
      <c r="L84" s="9">
        <f t="shared" ca="1" si="51"/>
        <v>262.10943858537024</v>
      </c>
      <c r="M84" s="6">
        <f t="shared" ca="1" si="39"/>
        <v>264.00415327873287</v>
      </c>
      <c r="N84" s="6">
        <f t="shared" ca="1" si="52"/>
        <v>0</v>
      </c>
      <c r="O84" s="6">
        <f t="shared" ca="1" si="53"/>
        <v>0</v>
      </c>
      <c r="P84" s="6">
        <f ca="1">COUNTIFS($C$2:C83,"&lt;="&amp;C84,$M$2:M83,"&gt;"&amp;C84)</f>
        <v>2</v>
      </c>
      <c r="Q84" s="9">
        <f t="shared" ca="1" si="40"/>
        <v>1.2623000720526534</v>
      </c>
      <c r="R84" s="9">
        <f t="shared" ca="1" si="41"/>
        <v>0</v>
      </c>
      <c r="S84" s="9">
        <f t="shared" ca="1" si="42"/>
        <v>0</v>
      </c>
      <c r="T84" s="6">
        <f t="shared" ca="1" si="43"/>
        <v>0</v>
      </c>
      <c r="U84" s="6">
        <f t="shared" ca="1" si="54"/>
        <v>0</v>
      </c>
      <c r="V84" s="8">
        <f t="shared" ca="1" si="55"/>
        <v>1.8947146933626258</v>
      </c>
      <c r="W84" s="8">
        <f t="shared" ca="1" si="56"/>
        <v>0</v>
      </c>
      <c r="X84" s="8">
        <f t="shared" ca="1" si="57"/>
        <v>0</v>
      </c>
      <c r="Y84" s="8"/>
      <c r="Z84" s="8"/>
      <c r="AA84" s="8"/>
      <c r="AB84" s="8"/>
      <c r="AC84" s="8"/>
      <c r="AD84" s="8"/>
      <c r="AE84" s="8"/>
      <c r="AF84" s="8"/>
    </row>
    <row r="85" spans="1:32" ht="15" x14ac:dyDescent="0.3">
      <c r="A85" s="6">
        <v>84</v>
      </c>
      <c r="B85" s="6">
        <f t="shared" ca="1" si="44"/>
        <v>3.1328859667725442</v>
      </c>
      <c r="C85" s="9">
        <f t="shared" ca="1" si="45"/>
        <v>265.2423245521428</v>
      </c>
      <c r="D85" s="6">
        <f t="shared" ca="1" si="37"/>
        <v>0.1182553713384048</v>
      </c>
      <c r="E85" s="6" t="str">
        <f ca="1">LOOKUP(RAND(),{0,0.4,0.7,0.9},{"DEPOSIT","WITHDRAWAL","INQUIRY","LOAN"})</f>
        <v>INQUIRY</v>
      </c>
      <c r="F85" s="6" t="str">
        <f t="shared" ca="1" si="46"/>
        <v>t1</v>
      </c>
      <c r="G85" s="6">
        <f t="shared" ca="1" si="38"/>
        <v>8.539635316244496</v>
      </c>
      <c r="H85" s="6">
        <f t="shared" ca="1" si="47"/>
        <v>273.78195986838728</v>
      </c>
      <c r="I85" s="6">
        <f t="shared" ca="1" si="48"/>
        <v>264.00415327873287</v>
      </c>
      <c r="J85" s="6">
        <f t="shared" ca="1" si="49"/>
        <v>262.4859811270581</v>
      </c>
      <c r="K85" s="9">
        <f t="shared" ca="1" si="50"/>
        <v>266.17543770562907</v>
      </c>
      <c r="L85" s="9">
        <f t="shared" ca="1" si="51"/>
        <v>265.2423245521428</v>
      </c>
      <c r="M85" s="6">
        <f t="shared" ca="1" si="39"/>
        <v>273.78195986838728</v>
      </c>
      <c r="N85" s="6">
        <f t="shared" ca="1" si="52"/>
        <v>0</v>
      </c>
      <c r="O85" s="6">
        <f t="shared" ca="1" si="53"/>
        <v>0</v>
      </c>
      <c r="P85" s="6">
        <f ca="1">COUNTIFS($C$2:C84,"&lt;="&amp;C85,$M$2:M84,"&gt;"&amp;C85)</f>
        <v>1</v>
      </c>
      <c r="Q85" s="9">
        <f t="shared" ca="1" si="40"/>
        <v>0</v>
      </c>
      <c r="R85" s="9">
        <f t="shared" ca="1" si="41"/>
        <v>1.2381712734099324</v>
      </c>
      <c r="S85" s="9">
        <f t="shared" ca="1" si="42"/>
        <v>2.7563434250847081</v>
      </c>
      <c r="T85" s="6">
        <f t="shared" ca="1" si="43"/>
        <v>0</v>
      </c>
      <c r="U85" s="6">
        <f t="shared" ca="1" si="54"/>
        <v>8.539635316244496</v>
      </c>
      <c r="V85" s="8">
        <f t="shared" ca="1" si="55"/>
        <v>0</v>
      </c>
      <c r="W85" s="8">
        <f t="shared" ca="1" si="56"/>
        <v>0</v>
      </c>
      <c r="X85" s="8">
        <f t="shared" ca="1" si="57"/>
        <v>0</v>
      </c>
      <c r="Y85" s="8"/>
      <c r="Z85" s="8"/>
      <c r="AA85" s="8"/>
      <c r="AB85" s="8"/>
      <c r="AC85" s="8"/>
      <c r="AD85" s="8"/>
      <c r="AE85" s="8"/>
      <c r="AF85" s="8"/>
    </row>
    <row r="86" spans="1:32" ht="15" x14ac:dyDescent="0.3">
      <c r="A86" s="6">
        <v>85</v>
      </c>
      <c r="B86" s="6">
        <f t="shared" ca="1" si="44"/>
        <v>1.6989093580809835</v>
      </c>
      <c r="C86" s="9">
        <f t="shared" ca="1" si="45"/>
        <v>266.94123391022379</v>
      </c>
      <c r="D86" s="6">
        <f t="shared" ca="1" si="37"/>
        <v>0.93256930371074287</v>
      </c>
      <c r="E86" s="6" t="str">
        <f ca="1">LOOKUP(RAND(),{0,0.4,0.7,0.9},{"DEPOSIT","WITHDRAWAL","INQUIRY","LOAN"})</f>
        <v>WITHDRAWAL</v>
      </c>
      <c r="F86" s="6" t="str">
        <f t="shared" ca="1" si="46"/>
        <v>t3</v>
      </c>
      <c r="G86" s="6">
        <f t="shared" ca="1" si="38"/>
        <v>1</v>
      </c>
      <c r="H86" s="6">
        <f t="shared" ca="1" si="47"/>
        <v>273.78195986838728</v>
      </c>
      <c r="I86" s="6">
        <f t="shared" ca="1" si="48"/>
        <v>264.00415327873287</v>
      </c>
      <c r="J86" s="6">
        <f t="shared" ca="1" si="49"/>
        <v>267.94123391022379</v>
      </c>
      <c r="K86" s="9">
        <f t="shared" ca="1" si="50"/>
        <v>266.17543770562907</v>
      </c>
      <c r="L86" s="9">
        <f t="shared" ca="1" si="51"/>
        <v>266.94123391022379</v>
      </c>
      <c r="M86" s="6">
        <f t="shared" ca="1" si="39"/>
        <v>267.94123391022379</v>
      </c>
      <c r="N86" s="6">
        <f t="shared" ca="1" si="52"/>
        <v>0</v>
      </c>
      <c r="O86" s="6">
        <f t="shared" ca="1" si="53"/>
        <v>0</v>
      </c>
      <c r="P86" s="6">
        <f ca="1">COUNTIFS($C$2:C85,"&lt;="&amp;C86,$M$2:M85,"&gt;"&amp;C86)</f>
        <v>1</v>
      </c>
      <c r="Q86" s="9">
        <f t="shared" ca="1" si="40"/>
        <v>0</v>
      </c>
      <c r="R86" s="9">
        <f t="shared" ca="1" si="41"/>
        <v>2.9370806314909146</v>
      </c>
      <c r="S86" s="9">
        <f t="shared" ca="1" si="42"/>
        <v>0</v>
      </c>
      <c r="T86" s="6">
        <f t="shared" ca="1" si="43"/>
        <v>0.76579620459472153</v>
      </c>
      <c r="U86" s="6">
        <f t="shared" ca="1" si="54"/>
        <v>0</v>
      </c>
      <c r="V86" s="8">
        <f t="shared" ca="1" si="55"/>
        <v>0</v>
      </c>
      <c r="W86" s="8">
        <f t="shared" ca="1" si="56"/>
        <v>1</v>
      </c>
      <c r="X86" s="8">
        <f t="shared" ca="1" si="57"/>
        <v>0</v>
      </c>
      <c r="Y86" s="8"/>
      <c r="Z86" s="8"/>
      <c r="AA86" s="8"/>
      <c r="AB86" s="8"/>
      <c r="AC86" s="8"/>
      <c r="AD86" s="8"/>
      <c r="AE86" s="8"/>
      <c r="AF86" s="8"/>
    </row>
    <row r="87" spans="1:32" ht="15" x14ac:dyDescent="0.3">
      <c r="A87" s="6">
        <v>86</v>
      </c>
      <c r="B87" s="6">
        <f t="shared" ca="1" si="44"/>
        <v>4.5272818362523774E-2</v>
      </c>
      <c r="C87" s="9">
        <f t="shared" ca="1" si="45"/>
        <v>266.98650672858633</v>
      </c>
      <c r="D87" s="6">
        <f t="shared" ca="1" si="37"/>
        <v>0.67706115078729878</v>
      </c>
      <c r="E87" s="6" t="str">
        <f ca="1">LOOKUP(RAND(),{0,0.4,0.7,0.9},{"DEPOSIT","WITHDRAWAL","INQUIRY","LOAN"})</f>
        <v>DEPOSIT</v>
      </c>
      <c r="F87" s="6" t="str">
        <f t="shared" ca="1" si="46"/>
        <v>t2</v>
      </c>
      <c r="G87" s="6">
        <f t="shared" ca="1" si="38"/>
        <v>1.9499684201151286</v>
      </c>
      <c r="H87" s="6">
        <f t="shared" ca="1" si="47"/>
        <v>273.78195986838728</v>
      </c>
      <c r="I87" s="6">
        <f t="shared" ca="1" si="48"/>
        <v>268.93647514870145</v>
      </c>
      <c r="J87" s="6">
        <f t="shared" ca="1" si="49"/>
        <v>267.94123391022379</v>
      </c>
      <c r="K87" s="9">
        <f t="shared" ca="1" si="50"/>
        <v>266.17543770562907</v>
      </c>
      <c r="L87" s="9">
        <f t="shared" ca="1" si="51"/>
        <v>266.98650672858633</v>
      </c>
      <c r="M87" s="6">
        <f t="shared" ca="1" si="39"/>
        <v>268.93647514870145</v>
      </c>
      <c r="N87" s="6">
        <f t="shared" ca="1" si="52"/>
        <v>0</v>
      </c>
      <c r="O87" s="6">
        <f t="shared" ca="1" si="53"/>
        <v>0</v>
      </c>
      <c r="P87" s="6">
        <f ca="1">COUNTIFS($C$2:C86,"&lt;="&amp;C87,$M$2:M86,"&gt;"&amp;C87)</f>
        <v>2</v>
      </c>
      <c r="Q87" s="9">
        <f t="shared" ca="1" si="40"/>
        <v>0</v>
      </c>
      <c r="R87" s="9">
        <f t="shared" ca="1" si="41"/>
        <v>0</v>
      </c>
      <c r="S87" s="9">
        <f t="shared" ca="1" si="42"/>
        <v>0</v>
      </c>
      <c r="T87" s="6">
        <f t="shared" ca="1" si="43"/>
        <v>0.81106902295726968</v>
      </c>
      <c r="U87" s="6">
        <f t="shared" ca="1" si="54"/>
        <v>0</v>
      </c>
      <c r="V87" s="8">
        <f t="shared" ca="1" si="55"/>
        <v>1.9499684201151286</v>
      </c>
      <c r="W87" s="8">
        <f t="shared" ca="1" si="56"/>
        <v>0</v>
      </c>
      <c r="X87" s="8">
        <f t="shared" ca="1" si="57"/>
        <v>0</v>
      </c>
      <c r="Y87" s="8"/>
      <c r="Z87" s="8"/>
      <c r="AA87" s="8"/>
      <c r="AB87" s="8"/>
      <c r="AC87" s="8"/>
      <c r="AD87" s="8"/>
      <c r="AE87" s="8"/>
      <c r="AF87" s="8"/>
    </row>
    <row r="88" spans="1:32" ht="15" x14ac:dyDescent="0.3">
      <c r="A88" s="6">
        <v>87</v>
      </c>
      <c r="B88" s="6">
        <f t="shared" ca="1" si="44"/>
        <v>2.8226657333845022</v>
      </c>
      <c r="C88" s="9">
        <f t="shared" ca="1" si="45"/>
        <v>269.80917246197083</v>
      </c>
      <c r="D88" s="6">
        <f t="shared" ca="1" si="37"/>
        <v>0.26786004051380097</v>
      </c>
      <c r="E88" s="6" t="str">
        <f ca="1">LOOKUP(RAND(),{0,0.4,0.7,0.9},{"DEPOSIT","WITHDRAWAL","INQUIRY","LOAN"})</f>
        <v>INQUIRY</v>
      </c>
      <c r="F88" s="6" t="str">
        <f t="shared" ca="1" si="46"/>
        <v>t4</v>
      </c>
      <c r="G88" s="6">
        <f t="shared" ca="1" si="38"/>
        <v>5.2691626870930488</v>
      </c>
      <c r="H88" s="6">
        <f t="shared" ca="1" si="47"/>
        <v>273.78195986838728</v>
      </c>
      <c r="I88" s="6">
        <f t="shared" ca="1" si="48"/>
        <v>268.93647514870145</v>
      </c>
      <c r="J88" s="6">
        <f t="shared" ca="1" si="49"/>
        <v>267.94123391022379</v>
      </c>
      <c r="K88" s="9">
        <f t="shared" ca="1" si="50"/>
        <v>275.07833514906389</v>
      </c>
      <c r="L88" s="9">
        <f t="shared" ca="1" si="51"/>
        <v>269.80917246197083</v>
      </c>
      <c r="M88" s="6">
        <f t="shared" ca="1" si="39"/>
        <v>275.07833514906389</v>
      </c>
      <c r="N88" s="6">
        <f t="shared" ca="1" si="52"/>
        <v>0</v>
      </c>
      <c r="O88" s="6">
        <f t="shared" ca="1" si="53"/>
        <v>0</v>
      </c>
      <c r="P88" s="6">
        <f ca="1">COUNTIFS($C$2:C87,"&lt;="&amp;C88,$M$2:M87,"&gt;"&amp;C88)</f>
        <v>1</v>
      </c>
      <c r="Q88" s="9">
        <f t="shared" ca="1" si="40"/>
        <v>0</v>
      </c>
      <c r="R88" s="9">
        <f t="shared" ca="1" si="41"/>
        <v>0.87269731326938427</v>
      </c>
      <c r="S88" s="9">
        <f t="shared" ca="1" si="42"/>
        <v>1.867938551747045</v>
      </c>
      <c r="T88" s="6">
        <f t="shared" ca="1" si="43"/>
        <v>0</v>
      </c>
      <c r="U88" s="6">
        <f t="shared" ca="1" si="54"/>
        <v>0</v>
      </c>
      <c r="V88" s="8">
        <f t="shared" ca="1" si="55"/>
        <v>0</v>
      </c>
      <c r="W88" s="8">
        <f t="shared" ca="1" si="56"/>
        <v>0</v>
      </c>
      <c r="X88" s="8">
        <f t="shared" ca="1" si="57"/>
        <v>5.2691626870930488</v>
      </c>
      <c r="Y88" s="8"/>
      <c r="Z88" s="8"/>
      <c r="AA88" s="8"/>
      <c r="AB88" s="8"/>
      <c r="AC88" s="8"/>
      <c r="AD88" s="8"/>
      <c r="AE88" s="8"/>
      <c r="AF88" s="8"/>
    </row>
    <row r="89" spans="1:32" ht="15" x14ac:dyDescent="0.3">
      <c r="A89" s="6">
        <v>88</v>
      </c>
      <c r="B89" s="6">
        <f t="shared" ca="1" si="44"/>
        <v>4.7777327912490337</v>
      </c>
      <c r="C89" s="9">
        <f t="shared" ca="1" si="45"/>
        <v>274.58690525321987</v>
      </c>
      <c r="D89" s="6">
        <f t="shared" ca="1" si="37"/>
        <v>0.50833942069053228</v>
      </c>
      <c r="E89" s="6" t="str">
        <f ca="1">LOOKUP(RAND(),{0,0.4,0.7,0.9},{"DEPOSIT","WITHDRAWAL","INQUIRY","LOAN"})</f>
        <v>LOAN</v>
      </c>
      <c r="F89" s="6" t="str">
        <f t="shared" ca="1" si="46"/>
        <v>t3</v>
      </c>
      <c r="G89" s="6">
        <f t="shared" ca="1" si="38"/>
        <v>8.1192708426182403</v>
      </c>
      <c r="H89" s="6">
        <f t="shared" ca="1" si="47"/>
        <v>273.78195986838728</v>
      </c>
      <c r="I89" s="6">
        <f t="shared" ca="1" si="48"/>
        <v>268.93647514870145</v>
      </c>
      <c r="J89" s="6">
        <f t="shared" ca="1" si="49"/>
        <v>282.70617609583809</v>
      </c>
      <c r="K89" s="9">
        <f t="shared" ca="1" si="50"/>
        <v>275.07833514906389</v>
      </c>
      <c r="L89" s="9">
        <f t="shared" ca="1" si="51"/>
        <v>274.58690525321987</v>
      </c>
      <c r="M89" s="6">
        <f t="shared" ca="1" si="39"/>
        <v>282.70617609583809</v>
      </c>
      <c r="N89" s="6">
        <f t="shared" ca="1" si="52"/>
        <v>0</v>
      </c>
      <c r="O89" s="6">
        <f t="shared" ca="1" si="53"/>
        <v>0</v>
      </c>
      <c r="P89" s="6">
        <f ca="1">COUNTIFS($C$2:C88,"&lt;="&amp;C89,$M$2:M88,"&gt;"&amp;C89)</f>
        <v>1</v>
      </c>
      <c r="Q89" s="9">
        <f t="shared" ca="1" si="40"/>
        <v>0.80494538483259248</v>
      </c>
      <c r="R89" s="9">
        <f t="shared" ca="1" si="41"/>
        <v>5.6504301045184206</v>
      </c>
      <c r="S89" s="9">
        <f t="shared" ca="1" si="42"/>
        <v>0</v>
      </c>
      <c r="T89" s="6">
        <f t="shared" ca="1" si="43"/>
        <v>0</v>
      </c>
      <c r="U89" s="6">
        <f t="shared" ca="1" si="54"/>
        <v>0</v>
      </c>
      <c r="V89" s="8">
        <f t="shared" ca="1" si="55"/>
        <v>0</v>
      </c>
      <c r="W89" s="8">
        <f t="shared" ca="1" si="56"/>
        <v>8.1192708426182403</v>
      </c>
      <c r="X89" s="8">
        <f t="shared" ca="1" si="57"/>
        <v>0</v>
      </c>
      <c r="Y89" s="8"/>
      <c r="Z89" s="8"/>
      <c r="AA89" s="8"/>
      <c r="AB89" s="8"/>
      <c r="AC89" s="8"/>
      <c r="AD89" s="8"/>
      <c r="AE89" s="8"/>
      <c r="AF89" s="8"/>
    </row>
    <row r="90" spans="1:32" ht="15" x14ac:dyDescent="0.3">
      <c r="A90" s="6">
        <v>89</v>
      </c>
      <c r="B90" s="6">
        <f t="shared" ca="1" si="44"/>
        <v>0.57422365408840603</v>
      </c>
      <c r="C90" s="9">
        <f t="shared" ca="1" si="45"/>
        <v>275.1611289073083</v>
      </c>
      <c r="D90" s="6">
        <f t="shared" ca="1" si="37"/>
        <v>0.3194404877944953</v>
      </c>
      <c r="E90" s="6" t="str">
        <f ca="1">LOOKUP(RAND(),{0,0.4,0.7,0.9},{"DEPOSIT","WITHDRAWAL","INQUIRY","LOAN"})</f>
        <v>WITHDRAWAL</v>
      </c>
      <c r="F90" s="6" t="str">
        <f t="shared" ca="1" si="46"/>
        <v>t2</v>
      </c>
      <c r="G90" s="6">
        <f t="shared" ca="1" si="38"/>
        <v>6.8471057351894196</v>
      </c>
      <c r="H90" s="6">
        <f t="shared" ca="1" si="47"/>
        <v>273.78195986838728</v>
      </c>
      <c r="I90" s="6">
        <f t="shared" ca="1" si="48"/>
        <v>282.00823464249771</v>
      </c>
      <c r="J90" s="6">
        <f t="shared" ca="1" si="49"/>
        <v>282.70617609583809</v>
      </c>
      <c r="K90" s="9">
        <f t="shared" ca="1" si="50"/>
        <v>275.07833514906389</v>
      </c>
      <c r="L90" s="9">
        <f t="shared" ca="1" si="51"/>
        <v>275.1611289073083</v>
      </c>
      <c r="M90" s="6">
        <f t="shared" ca="1" si="39"/>
        <v>282.00823464249771</v>
      </c>
      <c r="N90" s="6">
        <f t="shared" ca="1" si="52"/>
        <v>0</v>
      </c>
      <c r="O90" s="6">
        <f t="shared" ca="1" si="53"/>
        <v>0</v>
      </c>
      <c r="P90" s="6">
        <f ca="1">COUNTIFS($C$2:C89,"&lt;="&amp;C90,$M$2:M89,"&gt;"&amp;C90)</f>
        <v>1</v>
      </c>
      <c r="Q90" s="9">
        <f t="shared" ca="1" si="40"/>
        <v>1.3791690389210203</v>
      </c>
      <c r="R90" s="9">
        <f t="shared" ca="1" si="41"/>
        <v>0</v>
      </c>
      <c r="S90" s="9">
        <f t="shared" ca="1" si="42"/>
        <v>0</v>
      </c>
      <c r="T90" s="6">
        <f t="shared" ca="1" si="43"/>
        <v>8.279375824440649E-2</v>
      </c>
      <c r="U90" s="6">
        <f t="shared" ca="1" si="54"/>
        <v>0</v>
      </c>
      <c r="V90" s="8">
        <f t="shared" ca="1" si="55"/>
        <v>6.8471057351894196</v>
      </c>
      <c r="W90" s="8">
        <f t="shared" ca="1" si="56"/>
        <v>0</v>
      </c>
      <c r="X90" s="8">
        <f t="shared" ca="1" si="57"/>
        <v>0</v>
      </c>
      <c r="Y90" s="8"/>
      <c r="Z90" s="8"/>
      <c r="AA90" s="8"/>
      <c r="AB90" s="8"/>
      <c r="AC90" s="8"/>
      <c r="AD90" s="8"/>
      <c r="AE90" s="8"/>
      <c r="AF90" s="8"/>
    </row>
    <row r="91" spans="1:32" ht="15" x14ac:dyDescent="0.3">
      <c r="A91" s="6">
        <v>90</v>
      </c>
      <c r="B91" s="6">
        <f t="shared" ca="1" si="44"/>
        <v>5.6732452688278778</v>
      </c>
      <c r="C91" s="9">
        <f t="shared" ca="1" si="45"/>
        <v>280.83437417613618</v>
      </c>
      <c r="D91" s="6">
        <f t="shared" ca="1" si="37"/>
        <v>0.76226970731088239</v>
      </c>
      <c r="E91" s="6" t="str">
        <f ca="1">LOOKUP(RAND(),{0,0.4,0.7,0.9},{"DEPOSIT","WITHDRAWAL","INQUIRY","LOAN"})</f>
        <v>INQUIRY</v>
      </c>
      <c r="F91" s="6" t="str">
        <f t="shared" ca="1" si="46"/>
        <v>t1</v>
      </c>
      <c r="G91" s="6">
        <f t="shared" ca="1" si="38"/>
        <v>1.0858193572704193</v>
      </c>
      <c r="H91" s="6">
        <f t="shared" ca="1" si="47"/>
        <v>281.92019353340658</v>
      </c>
      <c r="I91" s="6">
        <f t="shared" ca="1" si="48"/>
        <v>282.00823464249771</v>
      </c>
      <c r="J91" s="6">
        <f t="shared" ca="1" si="49"/>
        <v>282.70617609583809</v>
      </c>
      <c r="K91" s="9">
        <f t="shared" ca="1" si="50"/>
        <v>275.07833514906389</v>
      </c>
      <c r="L91" s="9">
        <f t="shared" ca="1" si="51"/>
        <v>280.83437417613618</v>
      </c>
      <c r="M91" s="6">
        <f t="shared" ca="1" si="39"/>
        <v>281.92019353340658</v>
      </c>
      <c r="N91" s="6">
        <f t="shared" ca="1" si="52"/>
        <v>0</v>
      </c>
      <c r="O91" s="6">
        <f t="shared" ca="1" si="53"/>
        <v>0</v>
      </c>
      <c r="P91" s="6">
        <f ca="1">COUNTIFS($C$2:C90,"&lt;="&amp;C91,$M$2:M90,"&gt;"&amp;C91)</f>
        <v>2</v>
      </c>
      <c r="Q91" s="9">
        <f t="shared" ca="1" si="40"/>
        <v>0</v>
      </c>
      <c r="R91" s="9">
        <f t="shared" ca="1" si="41"/>
        <v>0</v>
      </c>
      <c r="S91" s="9">
        <f t="shared" ca="1" si="42"/>
        <v>0</v>
      </c>
      <c r="T91" s="6">
        <f t="shared" ca="1" si="43"/>
        <v>5.7560390270722905</v>
      </c>
      <c r="U91" s="6">
        <f t="shared" ca="1" si="54"/>
        <v>1.0858193572704193</v>
      </c>
      <c r="V91" s="8">
        <f t="shared" ca="1" si="55"/>
        <v>0</v>
      </c>
      <c r="W91" s="8">
        <f t="shared" ca="1" si="56"/>
        <v>0</v>
      </c>
      <c r="X91" s="8">
        <f t="shared" ca="1" si="57"/>
        <v>0</v>
      </c>
      <c r="Y91" s="8"/>
      <c r="Z91" s="8"/>
      <c r="AA91" s="8"/>
      <c r="AB91" s="8"/>
      <c r="AC91" s="8"/>
      <c r="AD91" s="8"/>
      <c r="AE91" s="8"/>
      <c r="AF91" s="8"/>
    </row>
    <row r="92" spans="1:32" ht="15" x14ac:dyDescent="0.3">
      <c r="A92" s="6">
        <v>91</v>
      </c>
      <c r="B92" s="6">
        <f t="shared" ca="1" si="44"/>
        <v>5.6773350656768065</v>
      </c>
      <c r="C92" s="9">
        <f t="shared" ca="1" si="45"/>
        <v>286.51170924181298</v>
      </c>
      <c r="D92" s="6">
        <f t="shared" ca="1" si="37"/>
        <v>0.93922549670208233</v>
      </c>
      <c r="E92" s="6" t="str">
        <f ca="1">LOOKUP(RAND(),{0,0.4,0.7,0.9},{"DEPOSIT","WITHDRAWAL","INQUIRY","LOAN"})</f>
        <v>DEPOSIT</v>
      </c>
      <c r="F92" s="6" t="str">
        <f t="shared" ca="1" si="46"/>
        <v>t1</v>
      </c>
      <c r="G92" s="6">
        <f t="shared" ca="1" si="38"/>
        <v>1</v>
      </c>
      <c r="H92" s="6">
        <f t="shared" ca="1" si="47"/>
        <v>287.51170924181298</v>
      </c>
      <c r="I92" s="6">
        <f t="shared" ca="1" si="48"/>
        <v>282.00823464249771</v>
      </c>
      <c r="J92" s="6">
        <f t="shared" ca="1" si="49"/>
        <v>282.70617609583809</v>
      </c>
      <c r="K92" s="9">
        <f t="shared" ca="1" si="50"/>
        <v>275.07833514906389</v>
      </c>
      <c r="L92" s="9">
        <f t="shared" ca="1" si="51"/>
        <v>286.51170924181298</v>
      </c>
      <c r="M92" s="6">
        <f t="shared" ca="1" si="39"/>
        <v>287.51170924181298</v>
      </c>
      <c r="N92" s="6">
        <f t="shared" ca="1" si="52"/>
        <v>0</v>
      </c>
      <c r="O92" s="6">
        <f t="shared" ca="1" si="53"/>
        <v>0</v>
      </c>
      <c r="P92" s="6">
        <f ca="1">COUNTIFS($C$2:C91,"&lt;="&amp;C92,$M$2:M91,"&gt;"&amp;C92)</f>
        <v>0</v>
      </c>
      <c r="Q92" s="9">
        <f t="shared" ca="1" si="40"/>
        <v>0</v>
      </c>
      <c r="R92" s="9">
        <f t="shared" ca="1" si="41"/>
        <v>4.5034745993152683</v>
      </c>
      <c r="S92" s="9">
        <f t="shared" ca="1" si="42"/>
        <v>3.8055331459748913</v>
      </c>
      <c r="T92" s="6">
        <f t="shared" ca="1" si="43"/>
        <v>11.433374092749091</v>
      </c>
      <c r="U92" s="6">
        <f t="shared" ca="1" si="54"/>
        <v>1</v>
      </c>
      <c r="V92" s="8">
        <f t="shared" ca="1" si="55"/>
        <v>0</v>
      </c>
      <c r="W92" s="8">
        <f t="shared" ca="1" si="56"/>
        <v>0</v>
      </c>
      <c r="X92" s="8">
        <f t="shared" ca="1" si="57"/>
        <v>0</v>
      </c>
      <c r="Y92" s="8"/>
      <c r="Z92" s="8"/>
      <c r="AA92" s="8"/>
      <c r="AB92" s="8"/>
      <c r="AC92" s="8"/>
      <c r="AD92" s="8"/>
      <c r="AE92" s="8"/>
      <c r="AF92" s="8"/>
    </row>
    <row r="93" spans="1:32" ht="15" x14ac:dyDescent="0.3">
      <c r="A93" s="6">
        <v>92</v>
      </c>
      <c r="B93" s="6">
        <f t="shared" ca="1" si="44"/>
        <v>9.8577767508978109</v>
      </c>
      <c r="C93" s="9">
        <f t="shared" ca="1" si="45"/>
        <v>296.36948599271079</v>
      </c>
      <c r="D93" s="6">
        <f t="shared" ca="1" si="37"/>
        <v>0.89425603590349678</v>
      </c>
      <c r="E93" s="6" t="str">
        <f ca="1">LOOKUP(RAND(),{0,0.4,0.7,0.9},{"DEPOSIT","WITHDRAWAL","INQUIRY","LOAN"})</f>
        <v>WITHDRAWAL</v>
      </c>
      <c r="F93" s="6" t="str">
        <f t="shared" ca="1" si="46"/>
        <v>t1</v>
      </c>
      <c r="G93" s="6">
        <f t="shared" ca="1" si="38"/>
        <v>1</v>
      </c>
      <c r="H93" s="6">
        <f t="shared" ca="1" si="47"/>
        <v>297.36948599271079</v>
      </c>
      <c r="I93" s="6">
        <f t="shared" ca="1" si="48"/>
        <v>282.00823464249771</v>
      </c>
      <c r="J93" s="6">
        <f t="shared" ca="1" si="49"/>
        <v>282.70617609583809</v>
      </c>
      <c r="K93" s="9">
        <f t="shared" ca="1" si="50"/>
        <v>275.07833514906389</v>
      </c>
      <c r="L93" s="9">
        <f t="shared" ca="1" si="51"/>
        <v>296.36948599271079</v>
      </c>
      <c r="M93" s="6">
        <f t="shared" ca="1" si="39"/>
        <v>297.36948599271079</v>
      </c>
      <c r="N93" s="6">
        <f t="shared" ca="1" si="52"/>
        <v>0</v>
      </c>
      <c r="O93" s="6">
        <f t="shared" ca="1" si="53"/>
        <v>0</v>
      </c>
      <c r="P93" s="6">
        <f ca="1">COUNTIFS($C$2:C92,"&lt;="&amp;C93,$M$2:M92,"&gt;"&amp;C93)</f>
        <v>0</v>
      </c>
      <c r="Q93" s="9">
        <f t="shared" ca="1" si="40"/>
        <v>0</v>
      </c>
      <c r="R93" s="9">
        <f t="shared" ca="1" si="41"/>
        <v>14.361251350213081</v>
      </c>
      <c r="S93" s="9">
        <f t="shared" ca="1" si="42"/>
        <v>13.663309896872704</v>
      </c>
      <c r="T93" s="6">
        <f t="shared" ca="1" si="43"/>
        <v>21.291150843646903</v>
      </c>
      <c r="U93" s="6">
        <f t="shared" ca="1" si="54"/>
        <v>1</v>
      </c>
      <c r="V93" s="8">
        <f t="shared" ca="1" si="55"/>
        <v>0</v>
      </c>
      <c r="W93" s="8">
        <f t="shared" ca="1" si="56"/>
        <v>0</v>
      </c>
      <c r="X93" s="8">
        <f t="shared" ca="1" si="57"/>
        <v>0</v>
      </c>
      <c r="Y93" s="8"/>
      <c r="Z93" s="8"/>
      <c r="AA93" s="8"/>
      <c r="AB93" s="8"/>
      <c r="AC93" s="8"/>
      <c r="AD93" s="8"/>
      <c r="AE93" s="8"/>
      <c r="AF93" s="8"/>
    </row>
    <row r="94" spans="1:32" ht="15" x14ac:dyDescent="0.3">
      <c r="A94" s="6">
        <v>93</v>
      </c>
      <c r="B94" s="6">
        <f t="shared" ca="1" si="44"/>
        <v>6.2342607704558928</v>
      </c>
      <c r="C94" s="9">
        <f t="shared" ca="1" si="45"/>
        <v>302.60374676316667</v>
      </c>
      <c r="D94" s="6">
        <f t="shared" ca="1" si="37"/>
        <v>0.77879001036549367</v>
      </c>
      <c r="E94" s="6" t="str">
        <f ca="1">LOOKUP(RAND(),{0,0.4,0.7,0.9},{"DEPOSIT","WITHDRAWAL","INQUIRY","LOAN"})</f>
        <v>DEPOSIT</v>
      </c>
      <c r="F94" s="6" t="str">
        <f t="shared" ca="1" si="46"/>
        <v>t1</v>
      </c>
      <c r="G94" s="6">
        <f t="shared" ca="1" si="38"/>
        <v>1.250069162619327</v>
      </c>
      <c r="H94" s="6">
        <f t="shared" ca="1" si="47"/>
        <v>303.85381592578602</v>
      </c>
      <c r="I94" s="6">
        <f t="shared" ca="1" si="48"/>
        <v>282.00823464249771</v>
      </c>
      <c r="J94" s="6">
        <f t="shared" ca="1" si="49"/>
        <v>282.70617609583809</v>
      </c>
      <c r="K94" s="9">
        <f t="shared" ca="1" si="50"/>
        <v>275.07833514906389</v>
      </c>
      <c r="L94" s="9">
        <f t="shared" ca="1" si="51"/>
        <v>302.60374676316667</v>
      </c>
      <c r="M94" s="6">
        <f t="shared" ca="1" si="39"/>
        <v>303.85381592578602</v>
      </c>
      <c r="N94" s="6">
        <f t="shared" ca="1" si="52"/>
        <v>0</v>
      </c>
      <c r="O94" s="6">
        <f t="shared" ca="1" si="53"/>
        <v>0</v>
      </c>
      <c r="P94" s="6">
        <f ca="1">COUNTIFS($C$2:C93,"&lt;="&amp;C94,$M$2:M93,"&gt;"&amp;C94)</f>
        <v>0</v>
      </c>
      <c r="Q94" s="9">
        <f t="shared" ca="1" si="40"/>
        <v>0</v>
      </c>
      <c r="R94" s="9">
        <f t="shared" ca="1" si="41"/>
        <v>20.595512120668957</v>
      </c>
      <c r="S94" s="9">
        <f t="shared" ca="1" si="42"/>
        <v>19.89757066732858</v>
      </c>
      <c r="T94" s="6">
        <f t="shared" ca="1" si="43"/>
        <v>27.525411614102779</v>
      </c>
      <c r="U94" s="6">
        <f t="shared" ca="1" si="54"/>
        <v>1.250069162619327</v>
      </c>
      <c r="V94" s="8">
        <f t="shared" ca="1" si="55"/>
        <v>0</v>
      </c>
      <c r="W94" s="8">
        <f t="shared" ca="1" si="56"/>
        <v>0</v>
      </c>
      <c r="X94" s="8">
        <f t="shared" ca="1" si="57"/>
        <v>0</v>
      </c>
      <c r="Y94" s="8"/>
      <c r="Z94" s="8"/>
      <c r="AA94" s="8"/>
      <c r="AB94" s="8"/>
      <c r="AC94" s="8"/>
      <c r="AD94" s="8"/>
      <c r="AE94" s="8"/>
      <c r="AF94" s="8"/>
    </row>
    <row r="95" spans="1:32" ht="15" x14ac:dyDescent="0.3">
      <c r="A95" s="6">
        <v>94</v>
      </c>
      <c r="B95" s="6">
        <f t="shared" ca="1" si="44"/>
        <v>3.6649910562503081</v>
      </c>
      <c r="C95" s="9">
        <f t="shared" ca="1" si="45"/>
        <v>306.26873781941697</v>
      </c>
      <c r="D95" s="6">
        <f t="shared" ca="1" si="37"/>
        <v>0.21712003018794035</v>
      </c>
      <c r="E95" s="6" t="str">
        <f ca="1">LOOKUP(RAND(),{0,0.4,0.7,0.9},{"DEPOSIT","WITHDRAWAL","INQUIRY","LOAN"})</f>
        <v>LOAN</v>
      </c>
      <c r="F95" s="6" t="str">
        <f t="shared" ca="1" si="46"/>
        <v>t1</v>
      </c>
      <c r="G95" s="6">
        <f t="shared" ca="1" si="38"/>
        <v>18.327659326290512</v>
      </c>
      <c r="H95" s="6">
        <f t="shared" ca="1" si="47"/>
        <v>324.5963971457075</v>
      </c>
      <c r="I95" s="6">
        <f t="shared" ca="1" si="48"/>
        <v>282.00823464249771</v>
      </c>
      <c r="J95" s="6">
        <f t="shared" ca="1" si="49"/>
        <v>282.70617609583809</v>
      </c>
      <c r="K95" s="9">
        <f t="shared" ca="1" si="50"/>
        <v>275.07833514906389</v>
      </c>
      <c r="L95" s="9">
        <f t="shared" ca="1" si="51"/>
        <v>306.26873781941697</v>
      </c>
      <c r="M95" s="6">
        <f t="shared" ca="1" si="39"/>
        <v>324.5963971457075</v>
      </c>
      <c r="N95" s="6">
        <f t="shared" ca="1" si="52"/>
        <v>0</v>
      </c>
      <c r="O95" s="6">
        <f t="shared" ca="1" si="53"/>
        <v>0</v>
      </c>
      <c r="P95" s="6">
        <f ca="1">COUNTIFS($C$2:C94,"&lt;="&amp;C95,$M$2:M94,"&gt;"&amp;C95)</f>
        <v>0</v>
      </c>
      <c r="Q95" s="9">
        <f t="shared" ca="1" si="40"/>
        <v>0</v>
      </c>
      <c r="R95" s="9">
        <f t="shared" ca="1" si="41"/>
        <v>24.260503176919258</v>
      </c>
      <c r="S95" s="9">
        <f t="shared" ca="1" si="42"/>
        <v>23.562561723578881</v>
      </c>
      <c r="T95" s="6">
        <f t="shared" ca="1" si="43"/>
        <v>31.19040267035308</v>
      </c>
      <c r="U95" s="6">
        <f t="shared" ca="1" si="54"/>
        <v>18.327659326290512</v>
      </c>
      <c r="V95" s="8">
        <f t="shared" ca="1" si="55"/>
        <v>0</v>
      </c>
      <c r="W95" s="8">
        <f t="shared" ca="1" si="56"/>
        <v>0</v>
      </c>
      <c r="X95" s="8">
        <f t="shared" ca="1" si="57"/>
        <v>0</v>
      </c>
      <c r="Y95" s="8"/>
      <c r="Z95" s="8"/>
      <c r="AA95" s="8"/>
      <c r="AB95" s="8"/>
      <c r="AC95" s="8"/>
      <c r="AD95" s="8"/>
      <c r="AE95" s="8"/>
      <c r="AF95" s="8"/>
    </row>
    <row r="96" spans="1:32" ht="15" x14ac:dyDescent="0.3">
      <c r="A96" s="6">
        <v>95</v>
      </c>
      <c r="B96" s="6">
        <f t="shared" ca="1" si="44"/>
        <v>3.3124687830973607</v>
      </c>
      <c r="C96" s="9">
        <f t="shared" ca="1" si="45"/>
        <v>309.58120660251433</v>
      </c>
      <c r="D96" s="6">
        <f t="shared" ca="1" si="37"/>
        <v>0.31744398598604617</v>
      </c>
      <c r="E96" s="6" t="str">
        <f ca="1">LOOKUP(RAND(),{0,0.4,0.7,0.9},{"DEPOSIT","WITHDRAWAL","INQUIRY","LOAN"})</f>
        <v>WITHDRAWAL</v>
      </c>
      <c r="F96" s="6" t="str">
        <f t="shared" ca="1" si="46"/>
        <v>t4</v>
      </c>
      <c r="G96" s="6">
        <f t="shared" ca="1" si="38"/>
        <v>6.884723389828749</v>
      </c>
      <c r="H96" s="6">
        <f t="shared" ca="1" si="47"/>
        <v>324.5963971457075</v>
      </c>
      <c r="I96" s="6">
        <f t="shared" ca="1" si="48"/>
        <v>282.00823464249771</v>
      </c>
      <c r="J96" s="6">
        <f t="shared" ca="1" si="49"/>
        <v>282.70617609583809</v>
      </c>
      <c r="K96" s="9">
        <f t="shared" ca="1" si="50"/>
        <v>316.46592999234309</v>
      </c>
      <c r="L96" s="9">
        <f t="shared" ca="1" si="51"/>
        <v>309.58120660251433</v>
      </c>
      <c r="M96" s="6">
        <f t="shared" ca="1" si="39"/>
        <v>316.46592999234309</v>
      </c>
      <c r="N96" s="6">
        <f t="shared" ca="1" si="52"/>
        <v>0</v>
      </c>
      <c r="O96" s="6">
        <f t="shared" ca="1" si="53"/>
        <v>0</v>
      </c>
      <c r="P96" s="6">
        <f ca="1">COUNTIFS($C$2:C95,"&lt;="&amp;C96,$M$2:M95,"&gt;"&amp;C96)</f>
        <v>1</v>
      </c>
      <c r="Q96" s="9">
        <f t="shared" ca="1" si="40"/>
        <v>0</v>
      </c>
      <c r="R96" s="9">
        <f t="shared" ca="1" si="41"/>
        <v>27.572971960016616</v>
      </c>
      <c r="S96" s="9">
        <f t="shared" ca="1" si="42"/>
        <v>26.875030506676239</v>
      </c>
      <c r="T96" s="6">
        <f t="shared" ca="1" si="43"/>
        <v>0</v>
      </c>
      <c r="U96" s="6">
        <f t="shared" ca="1" si="54"/>
        <v>0</v>
      </c>
      <c r="V96" s="8">
        <f t="shared" ca="1" si="55"/>
        <v>0</v>
      </c>
      <c r="W96" s="8">
        <f t="shared" ca="1" si="56"/>
        <v>0</v>
      </c>
      <c r="X96" s="8">
        <f t="shared" ca="1" si="57"/>
        <v>6.884723389828749</v>
      </c>
      <c r="Y96" s="8"/>
      <c r="Z96" s="8"/>
      <c r="AA96" s="8"/>
      <c r="AB96" s="8"/>
      <c r="AC96" s="8"/>
      <c r="AD96" s="8"/>
      <c r="AE96" s="8"/>
      <c r="AF96" s="8"/>
    </row>
    <row r="97" spans="1:32" ht="15" x14ac:dyDescent="0.3">
      <c r="A97" s="6">
        <v>96</v>
      </c>
      <c r="B97" s="6">
        <f t="shared" ca="1" si="44"/>
        <v>1.1714592349160724</v>
      </c>
      <c r="C97" s="9">
        <f t="shared" ca="1" si="45"/>
        <v>310.75266583743041</v>
      </c>
      <c r="D97" s="6">
        <f t="shared" ca="1" si="37"/>
        <v>0.84079830555348278</v>
      </c>
      <c r="E97" s="6" t="str">
        <f ca="1">LOOKUP(RAND(),{0,0.4,0.7,0.9},{"DEPOSIT","WITHDRAWAL","INQUIRY","LOAN"})</f>
        <v>WITHDRAWAL</v>
      </c>
      <c r="F97" s="6" t="str">
        <f t="shared" ca="1" si="46"/>
        <v>t2</v>
      </c>
      <c r="G97" s="6">
        <f t="shared" ca="1" si="38"/>
        <v>1.0404208482020874</v>
      </c>
      <c r="H97" s="6">
        <f t="shared" ca="1" si="47"/>
        <v>324.5963971457075</v>
      </c>
      <c r="I97" s="6">
        <f t="shared" ca="1" si="48"/>
        <v>311.79308668563249</v>
      </c>
      <c r="J97" s="6">
        <f t="shared" ca="1" si="49"/>
        <v>282.70617609583809</v>
      </c>
      <c r="K97" s="9">
        <f t="shared" ca="1" si="50"/>
        <v>316.46592999234309</v>
      </c>
      <c r="L97" s="9">
        <f t="shared" ca="1" si="51"/>
        <v>310.75266583743041</v>
      </c>
      <c r="M97" s="6">
        <f t="shared" ca="1" si="39"/>
        <v>311.79308668563249</v>
      </c>
      <c r="N97" s="6">
        <f t="shared" ca="1" si="52"/>
        <v>0</v>
      </c>
      <c r="O97" s="6">
        <f t="shared" ca="1" si="53"/>
        <v>0</v>
      </c>
      <c r="P97" s="6">
        <f ca="1">COUNTIFS($C$2:C96,"&lt;="&amp;C97,$M$2:M96,"&gt;"&amp;C97)</f>
        <v>2</v>
      </c>
      <c r="Q97" s="9">
        <f t="shared" ca="1" si="40"/>
        <v>0</v>
      </c>
      <c r="R97" s="9">
        <f t="shared" ca="1" si="41"/>
        <v>0</v>
      </c>
      <c r="S97" s="9">
        <f t="shared" ca="1" si="42"/>
        <v>28.046489741592325</v>
      </c>
      <c r="T97" s="6">
        <f t="shared" ca="1" si="43"/>
        <v>0</v>
      </c>
      <c r="U97" s="6">
        <f t="shared" ca="1" si="54"/>
        <v>0</v>
      </c>
      <c r="V97" s="8">
        <f t="shared" ca="1" si="55"/>
        <v>1.0404208482020874</v>
      </c>
      <c r="W97" s="8">
        <f t="shared" ca="1" si="56"/>
        <v>0</v>
      </c>
      <c r="X97" s="8">
        <f t="shared" ca="1" si="57"/>
        <v>0</v>
      </c>
      <c r="Y97" s="8"/>
      <c r="Z97" s="8"/>
      <c r="AA97" s="8"/>
      <c r="AB97" s="8"/>
      <c r="AC97" s="8"/>
      <c r="AD97" s="8"/>
      <c r="AE97" s="8"/>
      <c r="AF97" s="8"/>
    </row>
    <row r="98" spans="1:32" ht="15" x14ac:dyDescent="0.3">
      <c r="A98" s="6">
        <v>97</v>
      </c>
      <c r="B98" s="6">
        <f t="shared" ca="1" si="44"/>
        <v>4.2844627576241239</v>
      </c>
      <c r="C98" s="9">
        <f t="shared" ca="1" si="45"/>
        <v>315.03712859505453</v>
      </c>
      <c r="D98" s="6">
        <f t="shared" ref="D98:D129" ca="1" si="58">RAND()</f>
        <v>0.78465283377804262</v>
      </c>
      <c r="E98" s="6" t="str">
        <f ca="1">LOOKUP(RAND(),{0,0.4,0.7,0.9},{"DEPOSIT","WITHDRAWAL","INQUIRY","LOAN"})</f>
        <v>INQUIRY</v>
      </c>
      <c r="F98" s="6" t="str">
        <f t="shared" ca="1" si="46"/>
        <v>t3</v>
      </c>
      <c r="G98" s="6">
        <f t="shared" ref="G98:G129" ca="1" si="59">IF(E98="DEPOSIT",MAX(1,-5*LN(D98)),IF(E98="WITHDRAWAL",MAX(1,-6*LN(D98)),IF(E98="INQUIRY",MAX(1,-4*LN(D98)),MAX(1,-12*LN(D98)))))</f>
        <v>1</v>
      </c>
      <c r="H98" s="6">
        <f t="shared" ca="1" si="47"/>
        <v>324.5963971457075</v>
      </c>
      <c r="I98" s="6">
        <f t="shared" ca="1" si="48"/>
        <v>311.79308668563249</v>
      </c>
      <c r="J98" s="6">
        <f t="shared" ca="1" si="49"/>
        <v>316.03712859505453</v>
      </c>
      <c r="K98" s="9">
        <f t="shared" ca="1" si="50"/>
        <v>316.46592999234309</v>
      </c>
      <c r="L98" s="9">
        <f t="shared" ca="1" si="51"/>
        <v>315.03712859505453</v>
      </c>
      <c r="M98" s="6">
        <f t="shared" ref="M98:M129" ca="1" si="60">L98+G98</f>
        <v>316.03712859505453</v>
      </c>
      <c r="N98" s="6">
        <f t="shared" ca="1" si="52"/>
        <v>0</v>
      </c>
      <c r="O98" s="6">
        <f t="shared" ca="1" si="53"/>
        <v>0</v>
      </c>
      <c r="P98" s="6">
        <f ca="1">COUNTIFS($C$2:C97,"&lt;="&amp;C98,$M$2:M97,"&gt;"&amp;C98)</f>
        <v>2</v>
      </c>
      <c r="Q98" s="9">
        <f t="shared" ref="Q98:Q129" ca="1" si="61">MAX(0,C98-H98)</f>
        <v>0</v>
      </c>
      <c r="R98" s="9">
        <f t="shared" ref="R98:R129" ca="1" si="62">MAX(0,C98-I98)</f>
        <v>3.2440419094220374</v>
      </c>
      <c r="S98" s="9">
        <f t="shared" ref="S98:S129" ca="1" si="63">MAX(0,C98-J98)</f>
        <v>0</v>
      </c>
      <c r="T98" s="6">
        <f t="shared" ref="T98:T129" ca="1" si="64">MAX(0,C98-K98)</f>
        <v>0</v>
      </c>
      <c r="U98" s="6">
        <f t="shared" ca="1" si="54"/>
        <v>0</v>
      </c>
      <c r="V98" s="8">
        <f t="shared" ca="1" si="55"/>
        <v>0</v>
      </c>
      <c r="W98" s="8">
        <f t="shared" ca="1" si="56"/>
        <v>1</v>
      </c>
      <c r="X98" s="8">
        <f t="shared" ca="1" si="57"/>
        <v>0</v>
      </c>
      <c r="Y98" s="8"/>
      <c r="Z98" s="8"/>
      <c r="AA98" s="8"/>
      <c r="AB98" s="8"/>
      <c r="AC98" s="8"/>
      <c r="AD98" s="8"/>
      <c r="AE98" s="8"/>
      <c r="AF98" s="8"/>
    </row>
    <row r="99" spans="1:32" ht="15" x14ac:dyDescent="0.3">
      <c r="A99" s="6">
        <v>98</v>
      </c>
      <c r="B99" s="6">
        <f t="shared" ref="B99:B130" ca="1" si="65">-LN(1-RAND())/(20/60)</f>
        <v>0.81887507410215332</v>
      </c>
      <c r="C99" s="9">
        <f t="shared" ref="C99:C130" ca="1" si="66">C98+B99</f>
        <v>315.85600366915668</v>
      </c>
      <c r="D99" s="6">
        <f t="shared" ca="1" si="58"/>
        <v>0.48428503454113236</v>
      </c>
      <c r="E99" s="6" t="str">
        <f ca="1">LOOKUP(RAND(),{0,0.4,0.7,0.9},{"DEPOSIT","WITHDRAWAL","INQUIRY","LOAN"})</f>
        <v>INQUIRY</v>
      </c>
      <c r="F99" s="6" t="str">
        <f t="shared" ref="F99:F130" ca="1" si="67">IF(C99&gt;MAX(H98,I98,J98,K98),"t1",IF(MIN(H98,I98,J98,K98)=H98,"t1",(IF(MIN(H98,I98,J98,K98)=I98,"t2",IF(MIN(H98,I98,J98,K98)=J98,"t3","t4")))))</f>
        <v>t2</v>
      </c>
      <c r="G99" s="6">
        <f t="shared" ca="1" si="59"/>
        <v>2.9003265250652839</v>
      </c>
      <c r="H99" s="6">
        <f t="shared" ref="H99:H130" ca="1" si="68">IF(F99="t1",M99,H98)</f>
        <v>324.5963971457075</v>
      </c>
      <c r="I99" s="6">
        <f t="shared" ref="I99:I130" ca="1" si="69">IF(F99="t2",M99,I98)</f>
        <v>318.75633019422196</v>
      </c>
      <c r="J99" s="6">
        <f t="shared" ref="J99:J130" ca="1" si="70">IF(F99="t3",M99,J98)</f>
        <v>316.03712859505453</v>
      </c>
      <c r="K99" s="9">
        <f t="shared" ref="K99:K130" ca="1" si="71">IF(F99="t4",M99,K98)</f>
        <v>316.46592999234309</v>
      </c>
      <c r="L99" s="9">
        <f t="shared" ref="L99:L130" ca="1" si="72">IF(N99=0,C99,MIN(H98,I98,J98,K98))</f>
        <v>315.85600366915668</v>
      </c>
      <c r="M99" s="6">
        <f t="shared" ca="1" si="60"/>
        <v>318.75633019422196</v>
      </c>
      <c r="N99" s="6">
        <f t="shared" ref="N99:N130" ca="1" si="73">IF(C99&lt;MIN(H98,I98,J98),MIN(H98,I98,J98)-C99,0)</f>
        <v>0</v>
      </c>
      <c r="O99" s="6">
        <f t="shared" ca="1" si="53"/>
        <v>0</v>
      </c>
      <c r="P99" s="6">
        <f ca="1">COUNTIFS($C$2:C98,"&lt;="&amp;C99,$M$2:M98,"&gt;"&amp;C99)</f>
        <v>3</v>
      </c>
      <c r="Q99" s="9">
        <f t="shared" ca="1" si="61"/>
        <v>0</v>
      </c>
      <c r="R99" s="9">
        <f t="shared" ca="1" si="62"/>
        <v>0</v>
      </c>
      <c r="S99" s="9">
        <f t="shared" ca="1" si="63"/>
        <v>0</v>
      </c>
      <c r="T99" s="6">
        <f t="shared" ca="1" si="64"/>
        <v>0</v>
      </c>
      <c r="U99" s="6">
        <f t="shared" ca="1" si="54"/>
        <v>0</v>
      </c>
      <c r="V99" s="8">
        <f t="shared" ca="1" si="55"/>
        <v>2.9003265250652839</v>
      </c>
      <c r="W99" s="8">
        <f t="shared" ca="1" si="56"/>
        <v>0</v>
      </c>
      <c r="X99" s="8">
        <f t="shared" ca="1" si="57"/>
        <v>0</v>
      </c>
      <c r="Y99" s="8"/>
      <c r="Z99" s="8"/>
      <c r="AA99" s="8"/>
      <c r="AB99" s="8"/>
      <c r="AC99" s="8"/>
      <c r="AD99" s="8"/>
      <c r="AE99" s="8"/>
      <c r="AF99" s="8"/>
    </row>
    <row r="100" spans="1:32" ht="15" x14ac:dyDescent="0.3">
      <c r="A100" s="6">
        <v>99</v>
      </c>
      <c r="B100" s="6">
        <f t="shared" ca="1" si="65"/>
        <v>0.55622318628186274</v>
      </c>
      <c r="C100" s="9">
        <f t="shared" ca="1" si="66"/>
        <v>316.41222685543852</v>
      </c>
      <c r="D100" s="6">
        <f t="shared" ca="1" si="58"/>
        <v>0.70539461001398629</v>
      </c>
      <c r="E100" s="6" t="str">
        <f ca="1">LOOKUP(RAND(),{0,0.4,0.7,0.9},{"DEPOSIT","WITHDRAWAL","INQUIRY","LOAN"})</f>
        <v>DEPOSIT</v>
      </c>
      <c r="F100" s="6" t="str">
        <f t="shared" ca="1" si="67"/>
        <v>t3</v>
      </c>
      <c r="G100" s="6">
        <f t="shared" ca="1" si="59"/>
        <v>1.7449895112213578</v>
      </c>
      <c r="H100" s="6">
        <f t="shared" ca="1" si="68"/>
        <v>324.5963971457075</v>
      </c>
      <c r="I100" s="6">
        <f t="shared" ca="1" si="69"/>
        <v>318.75633019422196</v>
      </c>
      <c r="J100" s="6">
        <f t="shared" ca="1" si="70"/>
        <v>318.1572163666599</v>
      </c>
      <c r="K100" s="9">
        <f t="shared" ca="1" si="71"/>
        <v>316.46592999234309</v>
      </c>
      <c r="L100" s="9">
        <f t="shared" ca="1" si="72"/>
        <v>316.41222685543852</v>
      </c>
      <c r="M100" s="6">
        <f t="shared" ca="1" si="60"/>
        <v>318.1572163666599</v>
      </c>
      <c r="N100" s="6">
        <f t="shared" ca="1" si="73"/>
        <v>0</v>
      </c>
      <c r="O100" s="6">
        <f t="shared" ca="1" si="53"/>
        <v>0</v>
      </c>
      <c r="P100" s="6">
        <f ca="1">COUNTIFS($C$2:C99,"&lt;="&amp;C100,$M$2:M99,"&gt;"&amp;C100)</f>
        <v>3</v>
      </c>
      <c r="Q100" s="9">
        <f t="shared" ca="1" si="61"/>
        <v>0</v>
      </c>
      <c r="R100" s="9">
        <f t="shared" ca="1" si="62"/>
        <v>0</v>
      </c>
      <c r="S100" s="9">
        <f t="shared" ca="1" si="63"/>
        <v>0</v>
      </c>
      <c r="T100" s="6">
        <f t="shared" ca="1" si="64"/>
        <v>0</v>
      </c>
      <c r="U100" s="6">
        <f t="shared" ca="1" si="54"/>
        <v>0</v>
      </c>
      <c r="V100" s="8">
        <f t="shared" ca="1" si="55"/>
        <v>0</v>
      </c>
      <c r="W100" s="8">
        <f t="shared" ca="1" si="56"/>
        <v>1.7449895112213578</v>
      </c>
      <c r="X100" s="8">
        <f t="shared" ca="1" si="57"/>
        <v>0</v>
      </c>
      <c r="Y100" s="8"/>
      <c r="Z100" s="8"/>
      <c r="AA100" s="8"/>
      <c r="AB100" s="8"/>
      <c r="AC100" s="8"/>
      <c r="AD100" s="8"/>
      <c r="AE100" s="8"/>
      <c r="AF100" s="8"/>
    </row>
    <row r="101" spans="1:32" ht="15" x14ac:dyDescent="0.3">
      <c r="A101" s="6">
        <v>100</v>
      </c>
      <c r="B101" s="6">
        <f t="shared" ca="1" si="65"/>
        <v>2.8180237479434198</v>
      </c>
      <c r="C101" s="9">
        <f t="shared" ca="1" si="66"/>
        <v>319.23025060338193</v>
      </c>
      <c r="D101" s="6">
        <f t="shared" ca="1" si="58"/>
        <v>8.8231764809382551E-2</v>
      </c>
      <c r="E101" s="6" t="str">
        <f ca="1">LOOKUP(RAND(),{0,0.4,0.7,0.9},{"DEPOSIT","WITHDRAWAL","INQUIRY","LOAN"})</f>
        <v>LOAN</v>
      </c>
      <c r="F101" s="6" t="str">
        <f t="shared" ca="1" si="67"/>
        <v>t4</v>
      </c>
      <c r="G101" s="6">
        <f t="shared" ca="1" si="59"/>
        <v>29.133458826900288</v>
      </c>
      <c r="H101" s="6">
        <f t="shared" ca="1" si="68"/>
        <v>324.5963971457075</v>
      </c>
      <c r="I101" s="6">
        <f t="shared" ca="1" si="69"/>
        <v>318.75633019422196</v>
      </c>
      <c r="J101" s="6">
        <f t="shared" ca="1" si="70"/>
        <v>318.1572163666599</v>
      </c>
      <c r="K101" s="9">
        <f t="shared" ca="1" si="71"/>
        <v>348.3637094302822</v>
      </c>
      <c r="L101" s="9">
        <f t="shared" ca="1" si="72"/>
        <v>319.23025060338193</v>
      </c>
      <c r="M101" s="6">
        <f t="shared" ca="1" si="60"/>
        <v>348.3637094302822</v>
      </c>
      <c r="N101" s="6">
        <f t="shared" ca="1" si="73"/>
        <v>0</v>
      </c>
      <c r="O101" s="6">
        <f t="shared" ca="1" si="53"/>
        <v>0</v>
      </c>
      <c r="P101" s="6">
        <f ca="1">COUNTIFS($C$2:C100,"&lt;="&amp;C101,$M$2:M100,"&gt;"&amp;C101)</f>
        <v>1</v>
      </c>
      <c r="Q101" s="9">
        <f t="shared" ca="1" si="61"/>
        <v>0</v>
      </c>
      <c r="R101" s="9">
        <f t="shared" ca="1" si="62"/>
        <v>0.47392040915997313</v>
      </c>
      <c r="S101" s="9">
        <f t="shared" ca="1" si="63"/>
        <v>1.0730342367220373</v>
      </c>
      <c r="T101" s="6">
        <f t="shared" ca="1" si="64"/>
        <v>0</v>
      </c>
      <c r="U101" s="6">
        <f t="shared" ca="1" si="54"/>
        <v>0</v>
      </c>
      <c r="V101" s="8">
        <f t="shared" ca="1" si="55"/>
        <v>0</v>
      </c>
      <c r="W101" s="8">
        <f t="shared" ca="1" si="56"/>
        <v>0</v>
      </c>
      <c r="X101" s="8">
        <f t="shared" ca="1" si="57"/>
        <v>29.133458826900288</v>
      </c>
      <c r="Y101" s="8"/>
      <c r="Z101" s="8"/>
      <c r="AA101" s="8"/>
      <c r="AB101" s="8"/>
      <c r="AC101" s="8"/>
      <c r="AD101" s="8"/>
      <c r="AE101" s="8"/>
      <c r="AF101" s="8"/>
    </row>
    <row r="102" spans="1:32" ht="15" x14ac:dyDescent="0.3">
      <c r="A102" s="6">
        <v>101</v>
      </c>
      <c r="B102" s="6">
        <f t="shared" ca="1" si="65"/>
        <v>13.728324971041806</v>
      </c>
      <c r="C102" s="9">
        <f t="shared" ca="1" si="66"/>
        <v>332.95857557442372</v>
      </c>
      <c r="D102" s="6">
        <f t="shared" ca="1" si="58"/>
        <v>5.4729948393172911E-2</v>
      </c>
      <c r="E102" s="6" t="str">
        <f ca="1">LOOKUP(RAND(),{0,0.4,0.7,0.9},{"DEPOSIT","WITHDRAWAL","INQUIRY","LOAN"})</f>
        <v>WITHDRAWAL</v>
      </c>
      <c r="F102" s="6" t="str">
        <f t="shared" ca="1" si="67"/>
        <v>t3</v>
      </c>
      <c r="G102" s="6">
        <f t="shared" ca="1" si="59"/>
        <v>17.432065300569931</v>
      </c>
      <c r="H102" s="6">
        <f t="shared" ca="1" si="68"/>
        <v>324.5963971457075</v>
      </c>
      <c r="I102" s="6">
        <f t="shared" ca="1" si="69"/>
        <v>318.75633019422196</v>
      </c>
      <c r="J102" s="6">
        <f t="shared" ca="1" si="70"/>
        <v>350.39064087499366</v>
      </c>
      <c r="K102" s="9">
        <f t="shared" ca="1" si="71"/>
        <v>348.3637094302822</v>
      </c>
      <c r="L102" s="9">
        <f t="shared" ca="1" si="72"/>
        <v>332.95857557442372</v>
      </c>
      <c r="M102" s="6">
        <f t="shared" ca="1" si="60"/>
        <v>350.39064087499366</v>
      </c>
      <c r="N102" s="6">
        <f t="shared" ca="1" si="73"/>
        <v>0</v>
      </c>
      <c r="O102" s="6">
        <f t="shared" ca="1" si="53"/>
        <v>0</v>
      </c>
      <c r="P102" s="6">
        <f ca="1">COUNTIFS($C$2:C101,"&lt;="&amp;C102,$M$2:M101,"&gt;"&amp;C102)</f>
        <v>1</v>
      </c>
      <c r="Q102" s="9">
        <f t="shared" ca="1" si="61"/>
        <v>8.36217842871622</v>
      </c>
      <c r="R102" s="9">
        <f t="shared" ca="1" si="62"/>
        <v>14.202245380201759</v>
      </c>
      <c r="S102" s="9">
        <f t="shared" ca="1" si="63"/>
        <v>0</v>
      </c>
      <c r="T102" s="6">
        <f t="shared" ca="1" si="64"/>
        <v>0</v>
      </c>
      <c r="U102" s="6">
        <f t="shared" ca="1" si="54"/>
        <v>0</v>
      </c>
      <c r="V102" s="8">
        <f t="shared" ca="1" si="55"/>
        <v>0</v>
      </c>
      <c r="W102" s="8">
        <f t="shared" ca="1" si="56"/>
        <v>17.432065300569931</v>
      </c>
      <c r="X102" s="8">
        <f t="shared" ca="1" si="57"/>
        <v>0</v>
      </c>
      <c r="Y102" s="8"/>
      <c r="Z102" s="8"/>
      <c r="AA102" s="8"/>
      <c r="AB102" s="8"/>
      <c r="AC102" s="8"/>
      <c r="AD102" s="8"/>
      <c r="AE102" s="8"/>
      <c r="AF102" s="8"/>
    </row>
    <row r="103" spans="1:32" ht="15" x14ac:dyDescent="0.3">
      <c r="A103" s="6">
        <v>102</v>
      </c>
      <c r="B103" s="6">
        <f t="shared" ca="1" si="65"/>
        <v>1.5421446013532065</v>
      </c>
      <c r="C103" s="9">
        <f t="shared" ca="1" si="66"/>
        <v>334.50072017577691</v>
      </c>
      <c r="D103" s="6">
        <f t="shared" ca="1" si="58"/>
        <v>0.33758882214275487</v>
      </c>
      <c r="E103" s="6" t="str">
        <f ca="1">LOOKUP(RAND(),{0,0.4,0.7,0.9},{"DEPOSIT","WITHDRAWAL","INQUIRY","LOAN"})</f>
        <v>WITHDRAWAL</v>
      </c>
      <c r="F103" s="6" t="str">
        <f t="shared" ca="1" si="67"/>
        <v>t2</v>
      </c>
      <c r="G103" s="6">
        <f t="shared" ca="1" si="59"/>
        <v>6.5155597594511807</v>
      </c>
      <c r="H103" s="6">
        <f t="shared" ca="1" si="68"/>
        <v>324.5963971457075</v>
      </c>
      <c r="I103" s="6">
        <f t="shared" ca="1" si="69"/>
        <v>341.01627993522811</v>
      </c>
      <c r="J103" s="6">
        <f t="shared" ca="1" si="70"/>
        <v>350.39064087499366</v>
      </c>
      <c r="K103" s="9">
        <f t="shared" ca="1" si="71"/>
        <v>348.3637094302822</v>
      </c>
      <c r="L103" s="9">
        <f t="shared" ca="1" si="72"/>
        <v>334.50072017577691</v>
      </c>
      <c r="M103" s="6">
        <f t="shared" ca="1" si="60"/>
        <v>341.01627993522811</v>
      </c>
      <c r="N103" s="6">
        <f t="shared" ca="1" si="73"/>
        <v>0</v>
      </c>
      <c r="O103" s="6">
        <f t="shared" ca="1" si="53"/>
        <v>0</v>
      </c>
      <c r="P103" s="6">
        <f ca="1">COUNTIFS($C$2:C102,"&lt;="&amp;C103,$M$2:M102,"&gt;"&amp;C103)</f>
        <v>2</v>
      </c>
      <c r="Q103" s="9">
        <f t="shared" ca="1" si="61"/>
        <v>9.9043230300694063</v>
      </c>
      <c r="R103" s="9">
        <f t="shared" ca="1" si="62"/>
        <v>0</v>
      </c>
      <c r="S103" s="9">
        <f t="shared" ca="1" si="63"/>
        <v>0</v>
      </c>
      <c r="T103" s="6">
        <f t="shared" ca="1" si="64"/>
        <v>0</v>
      </c>
      <c r="U103" s="6">
        <f t="shared" ca="1" si="54"/>
        <v>0</v>
      </c>
      <c r="V103" s="8">
        <f t="shared" ca="1" si="55"/>
        <v>6.5155597594511807</v>
      </c>
      <c r="W103" s="8">
        <f t="shared" ca="1" si="56"/>
        <v>0</v>
      </c>
      <c r="X103" s="8">
        <f t="shared" ca="1" si="57"/>
        <v>0</v>
      </c>
      <c r="Y103" s="8"/>
      <c r="Z103" s="8"/>
      <c r="AA103" s="8"/>
      <c r="AB103" s="8"/>
      <c r="AC103" s="8"/>
      <c r="AD103" s="8"/>
      <c r="AE103" s="8"/>
      <c r="AF103" s="8"/>
    </row>
    <row r="104" spans="1:32" ht="15" x14ac:dyDescent="0.3">
      <c r="A104" s="6">
        <v>103</v>
      </c>
      <c r="B104" s="6">
        <f t="shared" ca="1" si="65"/>
        <v>0.49981096867997116</v>
      </c>
      <c r="C104" s="9">
        <f t="shared" ca="1" si="66"/>
        <v>335.00053114445689</v>
      </c>
      <c r="D104" s="6">
        <f t="shared" ca="1" si="58"/>
        <v>0.47295682640611036</v>
      </c>
      <c r="E104" s="6" t="str">
        <f ca="1">LOOKUP(RAND(),{0,0.4,0.7,0.9},{"DEPOSIT","WITHDRAWAL","INQUIRY","LOAN"})</f>
        <v>WITHDRAWAL</v>
      </c>
      <c r="F104" s="6" t="str">
        <f t="shared" ca="1" si="67"/>
        <v>t1</v>
      </c>
      <c r="G104" s="6">
        <f t="shared" ca="1" si="59"/>
        <v>4.492507024518833</v>
      </c>
      <c r="H104" s="6">
        <f t="shared" ca="1" si="68"/>
        <v>339.49303816897572</v>
      </c>
      <c r="I104" s="6">
        <f t="shared" ca="1" si="69"/>
        <v>341.01627993522811</v>
      </c>
      <c r="J104" s="6">
        <f t="shared" ca="1" si="70"/>
        <v>350.39064087499366</v>
      </c>
      <c r="K104" s="9">
        <f t="shared" ca="1" si="71"/>
        <v>348.3637094302822</v>
      </c>
      <c r="L104" s="9">
        <f t="shared" ca="1" si="72"/>
        <v>335.00053114445689</v>
      </c>
      <c r="M104" s="6">
        <f t="shared" ca="1" si="60"/>
        <v>339.49303816897572</v>
      </c>
      <c r="N104" s="6">
        <f t="shared" ca="1" si="73"/>
        <v>0</v>
      </c>
      <c r="O104" s="6">
        <f t="shared" ca="1" si="53"/>
        <v>0</v>
      </c>
      <c r="P104" s="6">
        <f ca="1">COUNTIFS($C$2:C103,"&lt;="&amp;C104,$M$2:M103,"&gt;"&amp;C104)</f>
        <v>3</v>
      </c>
      <c r="Q104" s="9">
        <f t="shared" ca="1" si="61"/>
        <v>0</v>
      </c>
      <c r="R104" s="9">
        <f t="shared" ca="1" si="62"/>
        <v>0</v>
      </c>
      <c r="S104" s="9">
        <f t="shared" ca="1" si="63"/>
        <v>0</v>
      </c>
      <c r="T104" s="6">
        <f t="shared" ca="1" si="64"/>
        <v>0</v>
      </c>
      <c r="U104" s="6">
        <f t="shared" ca="1" si="54"/>
        <v>4.492507024518833</v>
      </c>
      <c r="V104" s="8">
        <f t="shared" ca="1" si="55"/>
        <v>0</v>
      </c>
      <c r="W104" s="8">
        <f t="shared" ca="1" si="56"/>
        <v>0</v>
      </c>
      <c r="X104" s="8">
        <f t="shared" ca="1" si="57"/>
        <v>0</v>
      </c>
      <c r="Y104" s="8"/>
      <c r="Z104" s="8"/>
      <c r="AA104" s="8"/>
      <c r="AB104" s="8"/>
      <c r="AC104" s="8"/>
      <c r="AD104" s="8"/>
      <c r="AE104" s="8"/>
      <c r="AF104" s="8"/>
    </row>
    <row r="105" spans="1:32" ht="15" x14ac:dyDescent="0.3">
      <c r="A105" s="6">
        <v>104</v>
      </c>
      <c r="B105" s="6">
        <f t="shared" ca="1" si="65"/>
        <v>0.70315522115879903</v>
      </c>
      <c r="C105" s="9">
        <f t="shared" ca="1" si="66"/>
        <v>335.70368636561568</v>
      </c>
      <c r="D105" s="6">
        <f t="shared" ca="1" si="58"/>
        <v>0.96514011458266613</v>
      </c>
      <c r="E105" s="6" t="str">
        <f ca="1">LOOKUP(RAND(),{0,0.4,0.7,0.9},{"DEPOSIT","WITHDRAWAL","INQUIRY","LOAN"})</f>
        <v>DEPOSIT</v>
      </c>
      <c r="F105" s="6" t="str">
        <f t="shared" ca="1" si="67"/>
        <v>t1</v>
      </c>
      <c r="G105" s="6">
        <f t="shared" ca="1" si="59"/>
        <v>1</v>
      </c>
      <c r="H105" s="6">
        <f t="shared" ca="1" si="68"/>
        <v>340.49303816897572</v>
      </c>
      <c r="I105" s="6">
        <f t="shared" ca="1" si="69"/>
        <v>341.01627993522811</v>
      </c>
      <c r="J105" s="6">
        <f t="shared" ca="1" si="70"/>
        <v>350.39064087499366</v>
      </c>
      <c r="K105" s="9">
        <f t="shared" ca="1" si="71"/>
        <v>348.3637094302822</v>
      </c>
      <c r="L105" s="9">
        <f t="shared" ca="1" si="72"/>
        <v>339.49303816897572</v>
      </c>
      <c r="M105" s="6">
        <f t="shared" ca="1" si="60"/>
        <v>340.49303816897572</v>
      </c>
      <c r="N105" s="6">
        <f t="shared" ca="1" si="73"/>
        <v>3.7893518033600344</v>
      </c>
      <c r="O105" s="6">
        <f t="shared" ca="1" si="53"/>
        <v>1</v>
      </c>
      <c r="P105" s="6">
        <f ca="1">COUNTIFS($C$2:C104,"&lt;="&amp;C105,$M$2:M104,"&gt;"&amp;C105)</f>
        <v>4</v>
      </c>
      <c r="Q105" s="9">
        <f t="shared" ca="1" si="61"/>
        <v>0</v>
      </c>
      <c r="R105" s="9">
        <f t="shared" ca="1" si="62"/>
        <v>0</v>
      </c>
      <c r="S105" s="9">
        <f t="shared" ca="1" si="63"/>
        <v>0</v>
      </c>
      <c r="T105" s="6">
        <f t="shared" ca="1" si="64"/>
        <v>0</v>
      </c>
      <c r="U105" s="6">
        <f t="shared" ca="1" si="54"/>
        <v>1</v>
      </c>
      <c r="V105" s="8">
        <f t="shared" ca="1" si="55"/>
        <v>0</v>
      </c>
      <c r="W105" s="8">
        <f t="shared" ca="1" si="56"/>
        <v>0</v>
      </c>
      <c r="X105" s="8">
        <f t="shared" ca="1" si="57"/>
        <v>0</v>
      </c>
      <c r="Y105" s="8"/>
      <c r="Z105" s="8"/>
      <c r="AA105" s="8"/>
      <c r="AB105" s="8"/>
      <c r="AC105" s="8"/>
      <c r="AD105" s="8"/>
      <c r="AE105" s="8"/>
      <c r="AF105" s="8"/>
    </row>
    <row r="106" spans="1:32" ht="15" x14ac:dyDescent="0.3">
      <c r="A106" s="6">
        <v>105</v>
      </c>
      <c r="B106" s="6">
        <f t="shared" ca="1" si="65"/>
        <v>0.91391898997572973</v>
      </c>
      <c r="C106" s="9">
        <f t="shared" ca="1" si="66"/>
        <v>336.61760535559142</v>
      </c>
      <c r="D106" s="6">
        <f t="shared" ca="1" si="58"/>
        <v>0.94983948454417444</v>
      </c>
      <c r="E106" s="6" t="str">
        <f ca="1">LOOKUP(RAND(),{0,0.4,0.7,0.9},{"DEPOSIT","WITHDRAWAL","INQUIRY","LOAN"})</f>
        <v>INQUIRY</v>
      </c>
      <c r="F106" s="6" t="str">
        <f t="shared" ca="1" si="67"/>
        <v>t1</v>
      </c>
      <c r="G106" s="6">
        <f t="shared" ca="1" si="59"/>
        <v>1</v>
      </c>
      <c r="H106" s="6">
        <f t="shared" ca="1" si="68"/>
        <v>341.49303816897572</v>
      </c>
      <c r="I106" s="6">
        <f t="shared" ca="1" si="69"/>
        <v>341.01627993522811</v>
      </c>
      <c r="J106" s="6">
        <f t="shared" ca="1" si="70"/>
        <v>350.39064087499366</v>
      </c>
      <c r="K106" s="9">
        <f t="shared" ca="1" si="71"/>
        <v>348.3637094302822</v>
      </c>
      <c r="L106" s="9">
        <f t="shared" ca="1" si="72"/>
        <v>340.49303816897572</v>
      </c>
      <c r="M106" s="6">
        <f t="shared" ca="1" si="60"/>
        <v>341.49303816897572</v>
      </c>
      <c r="N106" s="6">
        <f t="shared" ca="1" si="73"/>
        <v>3.8754328133842932</v>
      </c>
      <c r="O106" s="6">
        <f t="shared" ca="1" si="53"/>
        <v>1</v>
      </c>
      <c r="P106" s="6">
        <f ca="1">COUNTIFS($C$2:C105,"&lt;="&amp;C106,$M$2:M105,"&gt;"&amp;C106)</f>
        <v>5</v>
      </c>
      <c r="Q106" s="9">
        <f t="shared" ca="1" si="61"/>
        <v>0</v>
      </c>
      <c r="R106" s="9">
        <f t="shared" ca="1" si="62"/>
        <v>0</v>
      </c>
      <c r="S106" s="9">
        <f t="shared" ca="1" si="63"/>
        <v>0</v>
      </c>
      <c r="T106" s="6">
        <f t="shared" ca="1" si="64"/>
        <v>0</v>
      </c>
      <c r="U106" s="6">
        <f t="shared" ca="1" si="54"/>
        <v>1</v>
      </c>
      <c r="V106" s="8">
        <f t="shared" ca="1" si="55"/>
        <v>0</v>
      </c>
      <c r="W106" s="8">
        <f t="shared" ca="1" si="56"/>
        <v>0</v>
      </c>
      <c r="X106" s="8">
        <f t="shared" ca="1" si="57"/>
        <v>0</v>
      </c>
      <c r="Y106" s="8"/>
      <c r="Z106" s="8"/>
      <c r="AA106" s="8"/>
      <c r="AB106" s="8"/>
      <c r="AC106" s="8"/>
      <c r="AD106" s="8"/>
      <c r="AE106" s="8"/>
      <c r="AF106" s="8"/>
    </row>
    <row r="107" spans="1:32" ht="15" x14ac:dyDescent="0.3">
      <c r="A107" s="6">
        <v>106</v>
      </c>
      <c r="B107" s="6">
        <f t="shared" ca="1" si="65"/>
        <v>6.1017172936380168</v>
      </c>
      <c r="C107" s="9">
        <f t="shared" ca="1" si="66"/>
        <v>342.71932264922941</v>
      </c>
      <c r="D107" s="6">
        <f t="shared" ca="1" si="58"/>
        <v>0.45699406123499131</v>
      </c>
      <c r="E107" s="6" t="str">
        <f ca="1">LOOKUP(RAND(),{0,0.4,0.7,0.9},{"DEPOSIT","WITHDRAWAL","INQUIRY","LOAN"})</f>
        <v>INQUIRY</v>
      </c>
      <c r="F107" s="6" t="str">
        <f t="shared" ca="1" si="67"/>
        <v>t2</v>
      </c>
      <c r="G107" s="6">
        <f t="shared" ca="1" si="59"/>
        <v>3.1323395331271908</v>
      </c>
      <c r="H107" s="6">
        <f t="shared" ca="1" si="68"/>
        <v>341.49303816897572</v>
      </c>
      <c r="I107" s="6">
        <f t="shared" ca="1" si="69"/>
        <v>345.85166218235662</v>
      </c>
      <c r="J107" s="6">
        <f t="shared" ca="1" si="70"/>
        <v>350.39064087499366</v>
      </c>
      <c r="K107" s="9">
        <f t="shared" ca="1" si="71"/>
        <v>348.3637094302822</v>
      </c>
      <c r="L107" s="9">
        <f t="shared" ca="1" si="72"/>
        <v>342.71932264922941</v>
      </c>
      <c r="M107" s="6">
        <f t="shared" ca="1" si="60"/>
        <v>345.85166218235662</v>
      </c>
      <c r="N107" s="6">
        <f t="shared" ca="1" si="73"/>
        <v>0</v>
      </c>
      <c r="O107" s="6">
        <f t="shared" ca="1" si="53"/>
        <v>0</v>
      </c>
      <c r="P107" s="6">
        <f ca="1">COUNTIFS($C$2:C106,"&lt;="&amp;C107,$M$2:M106,"&gt;"&amp;C107)</f>
        <v>2</v>
      </c>
      <c r="Q107" s="9">
        <f t="shared" ca="1" si="61"/>
        <v>1.2262844802536961</v>
      </c>
      <c r="R107" s="9">
        <f t="shared" ca="1" si="62"/>
        <v>0</v>
      </c>
      <c r="S107" s="9">
        <f t="shared" ca="1" si="63"/>
        <v>0</v>
      </c>
      <c r="T107" s="6">
        <f t="shared" ca="1" si="64"/>
        <v>0</v>
      </c>
      <c r="U107" s="6">
        <f t="shared" ca="1" si="54"/>
        <v>0</v>
      </c>
      <c r="V107" s="8">
        <f t="shared" ca="1" si="55"/>
        <v>3.1323395331271908</v>
      </c>
      <c r="W107" s="8">
        <f t="shared" ca="1" si="56"/>
        <v>0</v>
      </c>
      <c r="X107" s="8">
        <f t="shared" ca="1" si="57"/>
        <v>0</v>
      </c>
      <c r="Y107" s="8"/>
      <c r="Z107" s="8"/>
      <c r="AA107" s="8"/>
      <c r="AB107" s="8"/>
      <c r="AC107" s="8"/>
      <c r="AD107" s="8"/>
      <c r="AE107" s="8"/>
      <c r="AF107" s="8"/>
    </row>
    <row r="108" spans="1:32" ht="15" x14ac:dyDescent="0.3">
      <c r="A108" s="6">
        <v>107</v>
      </c>
      <c r="B108" s="6">
        <f t="shared" ca="1" si="65"/>
        <v>0.28038240867553949</v>
      </c>
      <c r="C108" s="9">
        <f t="shared" ca="1" si="66"/>
        <v>342.99970505790498</v>
      </c>
      <c r="D108" s="6">
        <f t="shared" ca="1" si="58"/>
        <v>0.12291820570091216</v>
      </c>
      <c r="E108" s="6" t="str">
        <f ca="1">LOOKUP(RAND(),{0,0.4,0.7,0.9},{"DEPOSIT","WITHDRAWAL","INQUIRY","LOAN"})</f>
        <v>DEPOSIT</v>
      </c>
      <c r="F108" s="6" t="str">
        <f t="shared" ca="1" si="67"/>
        <v>t1</v>
      </c>
      <c r="G108" s="6">
        <f t="shared" ca="1" si="59"/>
        <v>10.481180695590151</v>
      </c>
      <c r="H108" s="6">
        <f t="shared" ca="1" si="68"/>
        <v>353.4808857534951</v>
      </c>
      <c r="I108" s="6">
        <f t="shared" ca="1" si="69"/>
        <v>345.85166218235662</v>
      </c>
      <c r="J108" s="6">
        <f t="shared" ca="1" si="70"/>
        <v>350.39064087499366</v>
      </c>
      <c r="K108" s="9">
        <f t="shared" ca="1" si="71"/>
        <v>348.3637094302822</v>
      </c>
      <c r="L108" s="9">
        <f t="shared" ca="1" si="72"/>
        <v>342.99970505790498</v>
      </c>
      <c r="M108" s="6">
        <f t="shared" ca="1" si="60"/>
        <v>353.4808857534951</v>
      </c>
      <c r="N108" s="6">
        <f t="shared" ca="1" si="73"/>
        <v>0</v>
      </c>
      <c r="O108" s="6">
        <f t="shared" ca="1" si="53"/>
        <v>0</v>
      </c>
      <c r="P108" s="6">
        <f ca="1">COUNTIFS($C$2:C107,"&lt;="&amp;C108,$M$2:M107,"&gt;"&amp;C108)</f>
        <v>3</v>
      </c>
      <c r="Q108" s="9">
        <f t="shared" ca="1" si="61"/>
        <v>0</v>
      </c>
      <c r="R108" s="9">
        <f t="shared" ca="1" si="62"/>
        <v>0</v>
      </c>
      <c r="S108" s="9">
        <f t="shared" ca="1" si="63"/>
        <v>0</v>
      </c>
      <c r="T108" s="6">
        <f t="shared" ca="1" si="64"/>
        <v>0</v>
      </c>
      <c r="U108" s="6">
        <f t="shared" ca="1" si="54"/>
        <v>10.481180695590151</v>
      </c>
      <c r="V108" s="8">
        <f t="shared" ca="1" si="55"/>
        <v>0</v>
      </c>
      <c r="W108" s="8">
        <f t="shared" ca="1" si="56"/>
        <v>0</v>
      </c>
      <c r="X108" s="8">
        <f t="shared" ca="1" si="57"/>
        <v>0</v>
      </c>
      <c r="Y108" s="8"/>
      <c r="Z108" s="8"/>
      <c r="AA108" s="8"/>
      <c r="AB108" s="8"/>
      <c r="AC108" s="8"/>
      <c r="AD108" s="8"/>
      <c r="AE108" s="8"/>
      <c r="AF108" s="8"/>
    </row>
    <row r="109" spans="1:32" ht="15" x14ac:dyDescent="0.3">
      <c r="A109" s="6">
        <v>108</v>
      </c>
      <c r="B109" s="6">
        <f t="shared" ca="1" si="65"/>
        <v>1.0804001748200378</v>
      </c>
      <c r="C109" s="9">
        <f t="shared" ca="1" si="66"/>
        <v>344.08010523272503</v>
      </c>
      <c r="D109" s="6">
        <f t="shared" ca="1" si="58"/>
        <v>0.42819610393284657</v>
      </c>
      <c r="E109" s="6" t="str">
        <f ca="1">LOOKUP(RAND(),{0,0.4,0.7,0.9},{"DEPOSIT","WITHDRAWAL","INQUIRY","LOAN"})</f>
        <v>INQUIRY</v>
      </c>
      <c r="F109" s="6" t="str">
        <f t="shared" ca="1" si="67"/>
        <v>t2</v>
      </c>
      <c r="G109" s="6">
        <f t="shared" ca="1" si="59"/>
        <v>3.3926960063074154</v>
      </c>
      <c r="H109" s="6">
        <f t="shared" ca="1" si="68"/>
        <v>353.4808857534951</v>
      </c>
      <c r="I109" s="6">
        <f t="shared" ca="1" si="69"/>
        <v>349.24435818866402</v>
      </c>
      <c r="J109" s="6">
        <f t="shared" ca="1" si="70"/>
        <v>350.39064087499366</v>
      </c>
      <c r="K109" s="9">
        <f t="shared" ca="1" si="71"/>
        <v>348.3637094302822</v>
      </c>
      <c r="L109" s="9">
        <f t="shared" ca="1" si="72"/>
        <v>345.85166218235662</v>
      </c>
      <c r="M109" s="6">
        <f t="shared" ca="1" si="60"/>
        <v>349.24435818866402</v>
      </c>
      <c r="N109" s="6">
        <f t="shared" ca="1" si="73"/>
        <v>1.7715569496315879</v>
      </c>
      <c r="O109" s="6">
        <f t="shared" ca="1" si="53"/>
        <v>1</v>
      </c>
      <c r="P109" s="6">
        <f ca="1">COUNTIFS($C$2:C108,"&lt;="&amp;C109,$M$2:M108,"&gt;"&amp;C109)</f>
        <v>4</v>
      </c>
      <c r="Q109" s="9">
        <f t="shared" ca="1" si="61"/>
        <v>0</v>
      </c>
      <c r="R109" s="9">
        <f t="shared" ca="1" si="62"/>
        <v>0</v>
      </c>
      <c r="S109" s="9">
        <f t="shared" ca="1" si="63"/>
        <v>0</v>
      </c>
      <c r="T109" s="6">
        <f t="shared" ca="1" si="64"/>
        <v>0</v>
      </c>
      <c r="U109" s="6">
        <f t="shared" ca="1" si="54"/>
        <v>0</v>
      </c>
      <c r="V109" s="8">
        <f t="shared" ca="1" si="55"/>
        <v>3.3926960063074154</v>
      </c>
      <c r="W109" s="8">
        <f t="shared" ca="1" si="56"/>
        <v>0</v>
      </c>
      <c r="X109" s="8">
        <f t="shared" ca="1" si="57"/>
        <v>0</v>
      </c>
      <c r="Y109" s="8"/>
      <c r="Z109" s="8"/>
      <c r="AA109" s="8"/>
      <c r="AB109" s="8"/>
      <c r="AC109" s="8"/>
      <c r="AD109" s="8"/>
      <c r="AE109" s="8"/>
      <c r="AF109" s="8"/>
    </row>
    <row r="110" spans="1:32" ht="15" x14ac:dyDescent="0.3">
      <c r="A110" s="6">
        <v>109</v>
      </c>
      <c r="B110" s="6">
        <f t="shared" ca="1" si="65"/>
        <v>4.4063969922094781</v>
      </c>
      <c r="C110" s="9">
        <f t="shared" ca="1" si="66"/>
        <v>348.4865022249345</v>
      </c>
      <c r="D110" s="6">
        <f t="shared" ca="1" si="58"/>
        <v>0.37065260404493461</v>
      </c>
      <c r="E110" s="6" t="str">
        <f ca="1">LOOKUP(RAND(),{0,0.4,0.7,0.9},{"DEPOSIT","WITHDRAWAL","INQUIRY","LOAN"})</f>
        <v>LOAN</v>
      </c>
      <c r="F110" s="6" t="str">
        <f t="shared" ca="1" si="67"/>
        <v>t4</v>
      </c>
      <c r="G110" s="6">
        <f t="shared" ca="1" si="59"/>
        <v>11.909880387445263</v>
      </c>
      <c r="H110" s="6">
        <f t="shared" ca="1" si="68"/>
        <v>353.4808857534951</v>
      </c>
      <c r="I110" s="6">
        <f t="shared" ca="1" si="69"/>
        <v>349.24435818866402</v>
      </c>
      <c r="J110" s="6">
        <f t="shared" ca="1" si="70"/>
        <v>350.39064087499366</v>
      </c>
      <c r="K110" s="9">
        <f t="shared" ca="1" si="71"/>
        <v>360.27358981772744</v>
      </c>
      <c r="L110" s="9">
        <f t="shared" ca="1" si="72"/>
        <v>348.3637094302822</v>
      </c>
      <c r="M110" s="6">
        <f t="shared" ca="1" si="60"/>
        <v>360.27358981772744</v>
      </c>
      <c r="N110" s="6">
        <f t="shared" ca="1" si="73"/>
        <v>0.75785596372952568</v>
      </c>
      <c r="O110" s="6">
        <f t="shared" ca="1" si="53"/>
        <v>1</v>
      </c>
      <c r="P110" s="6">
        <f ca="1">COUNTIFS($C$2:C109,"&lt;="&amp;C110,$M$2:M109,"&gt;"&amp;C110)</f>
        <v>3</v>
      </c>
      <c r="Q110" s="9">
        <f t="shared" ca="1" si="61"/>
        <v>0</v>
      </c>
      <c r="R110" s="9">
        <f t="shared" ca="1" si="62"/>
        <v>0</v>
      </c>
      <c r="S110" s="9">
        <f t="shared" ca="1" si="63"/>
        <v>0</v>
      </c>
      <c r="T110" s="6">
        <f t="shared" ca="1" si="64"/>
        <v>0</v>
      </c>
      <c r="U110" s="6">
        <f t="shared" ca="1" si="54"/>
        <v>0</v>
      </c>
      <c r="V110" s="8">
        <f t="shared" ca="1" si="55"/>
        <v>0</v>
      </c>
      <c r="W110" s="8">
        <f t="shared" ca="1" si="56"/>
        <v>0</v>
      </c>
      <c r="X110" s="8">
        <f t="shared" ca="1" si="57"/>
        <v>11.909880387445263</v>
      </c>
      <c r="Y110" s="8"/>
      <c r="Z110" s="8"/>
      <c r="AA110" s="8"/>
      <c r="AB110" s="8"/>
      <c r="AC110" s="8"/>
      <c r="AD110" s="8"/>
      <c r="AE110" s="8"/>
      <c r="AF110" s="8"/>
    </row>
    <row r="111" spans="1:32" ht="15" x14ac:dyDescent="0.3">
      <c r="A111" s="6">
        <v>110</v>
      </c>
      <c r="B111" s="6">
        <f t="shared" ca="1" si="65"/>
        <v>4.6968428309194898</v>
      </c>
      <c r="C111" s="9">
        <f t="shared" ca="1" si="66"/>
        <v>353.18334505585398</v>
      </c>
      <c r="D111" s="6">
        <f t="shared" ca="1" si="58"/>
        <v>0.64976601519369703</v>
      </c>
      <c r="E111" s="6" t="str">
        <f ca="1">LOOKUP(RAND(),{0,0.4,0.7,0.9},{"DEPOSIT","WITHDRAWAL","INQUIRY","LOAN"})</f>
        <v>WITHDRAWAL</v>
      </c>
      <c r="F111" s="6" t="str">
        <f t="shared" ca="1" si="67"/>
        <v>t2</v>
      </c>
      <c r="G111" s="6">
        <f t="shared" ca="1" si="59"/>
        <v>2.5868577451480457</v>
      </c>
      <c r="H111" s="6">
        <f t="shared" ca="1" si="68"/>
        <v>353.4808857534951</v>
      </c>
      <c r="I111" s="6">
        <f t="shared" ca="1" si="69"/>
        <v>355.77020280100203</v>
      </c>
      <c r="J111" s="6">
        <f t="shared" ca="1" si="70"/>
        <v>350.39064087499366</v>
      </c>
      <c r="K111" s="9">
        <f t="shared" ca="1" si="71"/>
        <v>360.27358981772744</v>
      </c>
      <c r="L111" s="9">
        <f t="shared" ca="1" si="72"/>
        <v>353.18334505585398</v>
      </c>
      <c r="M111" s="6">
        <f t="shared" ca="1" si="60"/>
        <v>355.77020280100203</v>
      </c>
      <c r="N111" s="6">
        <f t="shared" ca="1" si="73"/>
        <v>0</v>
      </c>
      <c r="O111" s="6">
        <f t="shared" ca="1" si="53"/>
        <v>0</v>
      </c>
      <c r="P111" s="6">
        <f ca="1">COUNTIFS($C$2:C110,"&lt;="&amp;C111,$M$2:M110,"&gt;"&amp;C111)</f>
        <v>2</v>
      </c>
      <c r="Q111" s="9">
        <f t="shared" ca="1" si="61"/>
        <v>0</v>
      </c>
      <c r="R111" s="9">
        <f t="shared" ca="1" si="62"/>
        <v>0</v>
      </c>
      <c r="S111" s="9">
        <f t="shared" ca="1" si="63"/>
        <v>2.7927041808603121</v>
      </c>
      <c r="T111" s="6">
        <f t="shared" ca="1" si="64"/>
        <v>0</v>
      </c>
      <c r="U111" s="6">
        <f t="shared" ca="1" si="54"/>
        <v>0</v>
      </c>
      <c r="V111" s="8">
        <f t="shared" ca="1" si="55"/>
        <v>2.5868577451480457</v>
      </c>
      <c r="W111" s="8">
        <f t="shared" ca="1" si="56"/>
        <v>0</v>
      </c>
      <c r="X111" s="8">
        <f t="shared" ca="1" si="57"/>
        <v>0</v>
      </c>
      <c r="Y111" s="8"/>
      <c r="Z111" s="8"/>
      <c r="AA111" s="8"/>
      <c r="AB111" s="8"/>
      <c r="AC111" s="8"/>
      <c r="AD111" s="8"/>
      <c r="AE111" s="8"/>
      <c r="AF111" s="8"/>
    </row>
    <row r="112" spans="1:32" ht="15" x14ac:dyDescent="0.3">
      <c r="A112" s="6">
        <v>111</v>
      </c>
      <c r="B112" s="6">
        <f t="shared" ca="1" si="65"/>
        <v>4.2488036458227176</v>
      </c>
      <c r="C112" s="9">
        <f t="shared" ca="1" si="66"/>
        <v>357.43214870167668</v>
      </c>
      <c r="D112" s="6">
        <f t="shared" ca="1" si="58"/>
        <v>0.91267423417719784</v>
      </c>
      <c r="E112" s="6" t="str">
        <f ca="1">LOOKUP(RAND(),{0,0.4,0.7,0.9},{"DEPOSIT","WITHDRAWAL","INQUIRY","LOAN"})</f>
        <v>DEPOSIT</v>
      </c>
      <c r="F112" s="6" t="str">
        <f t="shared" ca="1" si="67"/>
        <v>t3</v>
      </c>
      <c r="G112" s="6">
        <f t="shared" ca="1" si="59"/>
        <v>1</v>
      </c>
      <c r="H112" s="6">
        <f t="shared" ca="1" si="68"/>
        <v>353.4808857534951</v>
      </c>
      <c r="I112" s="6">
        <f t="shared" ca="1" si="69"/>
        <v>355.77020280100203</v>
      </c>
      <c r="J112" s="6">
        <f t="shared" ca="1" si="70"/>
        <v>358.43214870167668</v>
      </c>
      <c r="K112" s="9">
        <f t="shared" ca="1" si="71"/>
        <v>360.27358981772744</v>
      </c>
      <c r="L112" s="9">
        <f t="shared" ca="1" si="72"/>
        <v>357.43214870167668</v>
      </c>
      <c r="M112" s="6">
        <f t="shared" ca="1" si="60"/>
        <v>358.43214870167668</v>
      </c>
      <c r="N112" s="6">
        <f t="shared" ca="1" si="73"/>
        <v>0</v>
      </c>
      <c r="O112" s="6">
        <f t="shared" ca="1" si="53"/>
        <v>0</v>
      </c>
      <c r="P112" s="6">
        <f ca="1">COUNTIFS($C$2:C111,"&lt;="&amp;C112,$M$2:M111,"&gt;"&amp;C112)</f>
        <v>1</v>
      </c>
      <c r="Q112" s="9">
        <f t="shared" ca="1" si="61"/>
        <v>3.9512629481815793</v>
      </c>
      <c r="R112" s="9">
        <f t="shared" ca="1" si="62"/>
        <v>1.6619459006746524</v>
      </c>
      <c r="S112" s="9">
        <f t="shared" ca="1" si="63"/>
        <v>0</v>
      </c>
      <c r="T112" s="6">
        <f t="shared" ca="1" si="64"/>
        <v>0</v>
      </c>
      <c r="U112" s="6">
        <f t="shared" ca="1" si="54"/>
        <v>0</v>
      </c>
      <c r="V112" s="8">
        <f t="shared" ca="1" si="55"/>
        <v>0</v>
      </c>
      <c r="W112" s="8">
        <f t="shared" ca="1" si="56"/>
        <v>1</v>
      </c>
      <c r="X112" s="8">
        <f t="shared" ca="1" si="57"/>
        <v>0</v>
      </c>
      <c r="Y112" s="8"/>
      <c r="Z112" s="8"/>
      <c r="AA112" s="8"/>
      <c r="AB112" s="8"/>
      <c r="AC112" s="8"/>
      <c r="AD112" s="8"/>
      <c r="AE112" s="8"/>
      <c r="AF112" s="8"/>
    </row>
    <row r="113" spans="1:32" ht="15" x14ac:dyDescent="0.3">
      <c r="A113" s="6">
        <v>112</v>
      </c>
      <c r="B113" s="6">
        <f t="shared" ca="1" si="65"/>
        <v>1.5884255433750227</v>
      </c>
      <c r="C113" s="9">
        <f t="shared" ca="1" si="66"/>
        <v>359.02057424505171</v>
      </c>
      <c r="D113" s="6">
        <f t="shared" ca="1" si="58"/>
        <v>0.12119500710038578</v>
      </c>
      <c r="E113" s="6" t="str">
        <f ca="1">LOOKUP(RAND(),{0,0.4,0.7,0.9},{"DEPOSIT","WITHDRAWAL","INQUIRY","LOAN"})</f>
        <v>LOAN</v>
      </c>
      <c r="F113" s="6" t="str">
        <f t="shared" ca="1" si="67"/>
        <v>t1</v>
      </c>
      <c r="G113" s="6">
        <f t="shared" ca="1" si="59"/>
        <v>25.324252820842247</v>
      </c>
      <c r="H113" s="6">
        <f t="shared" ca="1" si="68"/>
        <v>384.34482706589392</v>
      </c>
      <c r="I113" s="6">
        <f t="shared" ca="1" si="69"/>
        <v>355.77020280100203</v>
      </c>
      <c r="J113" s="6">
        <f t="shared" ca="1" si="70"/>
        <v>358.43214870167668</v>
      </c>
      <c r="K113" s="9">
        <f t="shared" ca="1" si="71"/>
        <v>360.27358981772744</v>
      </c>
      <c r="L113" s="9">
        <f t="shared" ca="1" si="72"/>
        <v>359.02057424505171</v>
      </c>
      <c r="M113" s="6">
        <f t="shared" ca="1" si="60"/>
        <v>384.34482706589392</v>
      </c>
      <c r="N113" s="6">
        <f t="shared" ca="1" si="73"/>
        <v>0</v>
      </c>
      <c r="O113" s="6">
        <f t="shared" ca="1" si="53"/>
        <v>0</v>
      </c>
      <c r="P113" s="6">
        <f ca="1">COUNTIFS($C$2:C112,"&lt;="&amp;C113,$M$2:M112,"&gt;"&amp;C113)</f>
        <v>1</v>
      </c>
      <c r="Q113" s="9">
        <f t="shared" ca="1" si="61"/>
        <v>0</v>
      </c>
      <c r="R113" s="9">
        <f t="shared" ca="1" si="62"/>
        <v>3.2503714440496765</v>
      </c>
      <c r="S113" s="9">
        <f t="shared" ca="1" si="63"/>
        <v>0.58842554337502406</v>
      </c>
      <c r="T113" s="6">
        <f t="shared" ca="1" si="64"/>
        <v>0</v>
      </c>
      <c r="U113" s="6">
        <f t="shared" ca="1" si="54"/>
        <v>25.324252820842247</v>
      </c>
      <c r="V113" s="8">
        <f t="shared" ca="1" si="55"/>
        <v>0</v>
      </c>
      <c r="W113" s="8">
        <f t="shared" ca="1" si="56"/>
        <v>0</v>
      </c>
      <c r="X113" s="8">
        <f t="shared" ca="1" si="57"/>
        <v>0</v>
      </c>
      <c r="Y113" s="8"/>
      <c r="Z113" s="8"/>
      <c r="AA113" s="8"/>
      <c r="AB113" s="8"/>
      <c r="AC113" s="8"/>
      <c r="AD113" s="8"/>
      <c r="AE113" s="8"/>
      <c r="AF113" s="8"/>
    </row>
    <row r="114" spans="1:32" ht="15" x14ac:dyDescent="0.3">
      <c r="A114" s="6">
        <v>113</v>
      </c>
      <c r="B114" s="6">
        <f t="shared" ca="1" si="65"/>
        <v>1.076616820654468</v>
      </c>
      <c r="C114" s="9">
        <f t="shared" ca="1" si="66"/>
        <v>360.09719106570617</v>
      </c>
      <c r="D114" s="6">
        <f t="shared" ca="1" si="58"/>
        <v>0.62663828220770568</v>
      </c>
      <c r="E114" s="6" t="str">
        <f ca="1">LOOKUP(RAND(),{0,0.4,0.7,0.9},{"DEPOSIT","WITHDRAWAL","INQUIRY","LOAN"})</f>
        <v>DEPOSIT</v>
      </c>
      <c r="F114" s="6" t="str">
        <f t="shared" ca="1" si="67"/>
        <v>t2</v>
      </c>
      <c r="G114" s="6">
        <f t="shared" ca="1" si="59"/>
        <v>2.3369290360073887</v>
      </c>
      <c r="H114" s="6">
        <f t="shared" ca="1" si="68"/>
        <v>384.34482706589392</v>
      </c>
      <c r="I114" s="6">
        <f t="shared" ca="1" si="69"/>
        <v>362.43412010171357</v>
      </c>
      <c r="J114" s="6">
        <f t="shared" ca="1" si="70"/>
        <v>358.43214870167668</v>
      </c>
      <c r="K114" s="9">
        <f t="shared" ca="1" si="71"/>
        <v>360.27358981772744</v>
      </c>
      <c r="L114" s="9">
        <f t="shared" ca="1" si="72"/>
        <v>360.09719106570617</v>
      </c>
      <c r="M114" s="6">
        <f t="shared" ca="1" si="60"/>
        <v>362.43412010171357</v>
      </c>
      <c r="N114" s="6">
        <f t="shared" ca="1" si="73"/>
        <v>0</v>
      </c>
      <c r="O114" s="6">
        <f t="shared" ca="1" si="53"/>
        <v>0</v>
      </c>
      <c r="P114" s="6">
        <f ca="1">COUNTIFS($C$2:C113,"&lt;="&amp;C114,$M$2:M113,"&gt;"&amp;C114)</f>
        <v>2</v>
      </c>
      <c r="Q114" s="9">
        <f t="shared" ca="1" si="61"/>
        <v>0</v>
      </c>
      <c r="R114" s="9">
        <f t="shared" ca="1" si="62"/>
        <v>0</v>
      </c>
      <c r="S114" s="9">
        <f t="shared" ca="1" si="63"/>
        <v>1.6650423640294889</v>
      </c>
      <c r="T114" s="6">
        <f t="shared" ca="1" si="64"/>
        <v>0</v>
      </c>
      <c r="U114" s="6">
        <f t="shared" ca="1" si="54"/>
        <v>0</v>
      </c>
      <c r="V114" s="8">
        <f t="shared" ca="1" si="55"/>
        <v>2.3369290360073887</v>
      </c>
      <c r="W114" s="8">
        <f t="shared" ca="1" si="56"/>
        <v>0</v>
      </c>
      <c r="X114" s="8">
        <f t="shared" ca="1" si="57"/>
        <v>0</v>
      </c>
      <c r="Y114" s="8"/>
      <c r="Z114" s="8"/>
      <c r="AA114" s="8"/>
      <c r="AB114" s="8"/>
      <c r="AC114" s="8"/>
      <c r="AD114" s="8"/>
      <c r="AE114" s="8"/>
      <c r="AF114" s="8"/>
    </row>
    <row r="115" spans="1:32" ht="15" x14ac:dyDescent="0.3">
      <c r="A115" s="6">
        <v>114</v>
      </c>
      <c r="B115" s="6">
        <f t="shared" ca="1" si="65"/>
        <v>3.8955219030815438</v>
      </c>
      <c r="C115" s="9">
        <f t="shared" ca="1" si="66"/>
        <v>363.99271296878771</v>
      </c>
      <c r="D115" s="6">
        <f t="shared" ca="1" si="58"/>
        <v>0.4996151237100086</v>
      </c>
      <c r="E115" s="6" t="str">
        <f ca="1">LOOKUP(RAND(),{0,0.4,0.7,0.9},{"DEPOSIT","WITHDRAWAL","INQUIRY","LOAN"})</f>
        <v>INQUIRY</v>
      </c>
      <c r="F115" s="6" t="str">
        <f t="shared" ca="1" si="67"/>
        <v>t3</v>
      </c>
      <c r="G115" s="6">
        <f t="shared" ca="1" si="59"/>
        <v>2.7756689182062564</v>
      </c>
      <c r="H115" s="6">
        <f t="shared" ca="1" si="68"/>
        <v>384.34482706589392</v>
      </c>
      <c r="I115" s="6">
        <f t="shared" ca="1" si="69"/>
        <v>362.43412010171357</v>
      </c>
      <c r="J115" s="6">
        <f t="shared" ca="1" si="70"/>
        <v>366.76838188699395</v>
      </c>
      <c r="K115" s="9">
        <f t="shared" ca="1" si="71"/>
        <v>360.27358981772744</v>
      </c>
      <c r="L115" s="9">
        <f t="shared" ca="1" si="72"/>
        <v>363.99271296878771</v>
      </c>
      <c r="M115" s="6">
        <f t="shared" ca="1" si="60"/>
        <v>366.76838188699395</v>
      </c>
      <c r="N115" s="6">
        <f t="shared" ca="1" si="73"/>
        <v>0</v>
      </c>
      <c r="O115" s="6">
        <f t="shared" ca="1" si="53"/>
        <v>0</v>
      </c>
      <c r="P115" s="6">
        <f ca="1">COUNTIFS($C$2:C114,"&lt;="&amp;C115,$M$2:M114,"&gt;"&amp;C115)</f>
        <v>1</v>
      </c>
      <c r="Q115" s="9">
        <f t="shared" ca="1" si="61"/>
        <v>0</v>
      </c>
      <c r="R115" s="9">
        <f t="shared" ca="1" si="62"/>
        <v>1.5585928670741396</v>
      </c>
      <c r="S115" s="9">
        <f t="shared" ca="1" si="63"/>
        <v>0</v>
      </c>
      <c r="T115" s="6">
        <f t="shared" ca="1" si="64"/>
        <v>3.7191231510602734</v>
      </c>
      <c r="U115" s="6">
        <f t="shared" ca="1" si="54"/>
        <v>0</v>
      </c>
      <c r="V115" s="8">
        <f t="shared" ca="1" si="55"/>
        <v>0</v>
      </c>
      <c r="W115" s="8">
        <f t="shared" ca="1" si="56"/>
        <v>2.7756689182062564</v>
      </c>
      <c r="X115" s="8">
        <f t="shared" ca="1" si="57"/>
        <v>0</v>
      </c>
      <c r="Y115" s="8"/>
      <c r="Z115" s="8"/>
      <c r="AA115" s="8"/>
      <c r="AB115" s="8"/>
      <c r="AC115" s="8"/>
      <c r="AD115" s="8"/>
      <c r="AE115" s="8"/>
      <c r="AF115" s="8"/>
    </row>
    <row r="116" spans="1:32" ht="15" x14ac:dyDescent="0.3">
      <c r="A116" s="6">
        <v>115</v>
      </c>
      <c r="B116" s="6">
        <f t="shared" ca="1" si="65"/>
        <v>3.531842597849765</v>
      </c>
      <c r="C116" s="9">
        <f t="shared" ca="1" si="66"/>
        <v>367.5245555666375</v>
      </c>
      <c r="D116" s="6">
        <f t="shared" ca="1" si="58"/>
        <v>0.26219992773700529</v>
      </c>
      <c r="E116" s="6" t="str">
        <f ca="1">LOOKUP(RAND(),{0,0.4,0.7,0.9},{"DEPOSIT","WITHDRAWAL","INQUIRY","LOAN"})</f>
        <v>DEPOSIT</v>
      </c>
      <c r="F116" s="6" t="str">
        <f t="shared" ca="1" si="67"/>
        <v>t4</v>
      </c>
      <c r="G116" s="6">
        <f t="shared" ca="1" si="59"/>
        <v>6.6932399162757434</v>
      </c>
      <c r="H116" s="6">
        <f t="shared" ca="1" si="68"/>
        <v>384.34482706589392</v>
      </c>
      <c r="I116" s="6">
        <f t="shared" ca="1" si="69"/>
        <v>362.43412010171357</v>
      </c>
      <c r="J116" s="6">
        <f t="shared" ca="1" si="70"/>
        <v>366.76838188699395</v>
      </c>
      <c r="K116" s="9">
        <f t="shared" ca="1" si="71"/>
        <v>374.21779548291323</v>
      </c>
      <c r="L116" s="9">
        <f t="shared" ca="1" si="72"/>
        <v>367.5245555666375</v>
      </c>
      <c r="M116" s="6">
        <f t="shared" ca="1" si="60"/>
        <v>374.21779548291323</v>
      </c>
      <c r="N116" s="6">
        <f t="shared" ca="1" si="73"/>
        <v>0</v>
      </c>
      <c r="O116" s="6">
        <f t="shared" ca="1" si="53"/>
        <v>0</v>
      </c>
      <c r="P116" s="6">
        <f ca="1">COUNTIFS($C$2:C115,"&lt;="&amp;C116,$M$2:M115,"&gt;"&amp;C116)</f>
        <v>1</v>
      </c>
      <c r="Q116" s="9">
        <f t="shared" ca="1" si="61"/>
        <v>0</v>
      </c>
      <c r="R116" s="9">
        <f t="shared" ca="1" si="62"/>
        <v>5.0904354649239281</v>
      </c>
      <c r="S116" s="9">
        <f t="shared" ca="1" si="63"/>
        <v>0.75617367964355253</v>
      </c>
      <c r="T116" s="6">
        <f t="shared" ca="1" si="64"/>
        <v>0</v>
      </c>
      <c r="U116" s="6">
        <f t="shared" ca="1" si="54"/>
        <v>0</v>
      </c>
      <c r="V116" s="8">
        <f t="shared" ca="1" si="55"/>
        <v>0</v>
      </c>
      <c r="W116" s="8">
        <f t="shared" ca="1" si="56"/>
        <v>0</v>
      </c>
      <c r="X116" s="8">
        <f t="shared" ca="1" si="57"/>
        <v>6.6932399162757434</v>
      </c>
      <c r="Y116" s="8"/>
      <c r="Z116" s="8"/>
      <c r="AA116" s="8"/>
      <c r="AB116" s="8"/>
      <c r="AC116" s="8"/>
      <c r="AD116" s="8"/>
      <c r="AE116" s="8"/>
      <c r="AF116" s="8"/>
    </row>
    <row r="117" spans="1:32" ht="15" x14ac:dyDescent="0.3">
      <c r="A117" s="6">
        <v>116</v>
      </c>
      <c r="B117" s="6">
        <f t="shared" ca="1" si="65"/>
        <v>1.0243476930190218</v>
      </c>
      <c r="C117" s="9">
        <f t="shared" ca="1" si="66"/>
        <v>368.54890325965653</v>
      </c>
      <c r="D117" s="6">
        <f t="shared" ca="1" si="58"/>
        <v>0.49841708529111728</v>
      </c>
      <c r="E117" s="6" t="str">
        <f ca="1">LOOKUP(RAND(),{0,0.4,0.7,0.9},{"DEPOSIT","WITHDRAWAL","INQUIRY","LOAN"})</f>
        <v>DEPOSIT</v>
      </c>
      <c r="F117" s="6" t="str">
        <f t="shared" ca="1" si="67"/>
        <v>t2</v>
      </c>
      <c r="G117" s="6">
        <f t="shared" ca="1" si="59"/>
        <v>3.4815901590866059</v>
      </c>
      <c r="H117" s="6">
        <f t="shared" ca="1" si="68"/>
        <v>384.34482706589392</v>
      </c>
      <c r="I117" s="6">
        <f t="shared" ca="1" si="69"/>
        <v>372.03049341874311</v>
      </c>
      <c r="J117" s="6">
        <f t="shared" ca="1" si="70"/>
        <v>366.76838188699395</v>
      </c>
      <c r="K117" s="9">
        <f t="shared" ca="1" si="71"/>
        <v>374.21779548291323</v>
      </c>
      <c r="L117" s="9">
        <f t="shared" ca="1" si="72"/>
        <v>368.54890325965653</v>
      </c>
      <c r="M117" s="6">
        <f t="shared" ca="1" si="60"/>
        <v>372.03049341874311</v>
      </c>
      <c r="N117" s="6">
        <f t="shared" ca="1" si="73"/>
        <v>0</v>
      </c>
      <c r="O117" s="6">
        <f t="shared" ca="1" si="53"/>
        <v>0</v>
      </c>
      <c r="P117" s="6">
        <f ca="1">COUNTIFS($C$2:C116,"&lt;="&amp;C117,$M$2:M116,"&gt;"&amp;C117)</f>
        <v>2</v>
      </c>
      <c r="Q117" s="9">
        <f t="shared" ca="1" si="61"/>
        <v>0</v>
      </c>
      <c r="R117" s="9">
        <f t="shared" ca="1" si="62"/>
        <v>0</v>
      </c>
      <c r="S117" s="9">
        <f t="shared" ca="1" si="63"/>
        <v>1.7805213726625766</v>
      </c>
      <c r="T117" s="6">
        <f t="shared" ca="1" si="64"/>
        <v>0</v>
      </c>
      <c r="U117" s="6">
        <f t="shared" ca="1" si="54"/>
        <v>0</v>
      </c>
      <c r="V117" s="8">
        <f t="shared" ca="1" si="55"/>
        <v>3.4815901590866059</v>
      </c>
      <c r="W117" s="8">
        <f t="shared" ca="1" si="56"/>
        <v>0</v>
      </c>
      <c r="X117" s="8">
        <f t="shared" ca="1" si="57"/>
        <v>0</v>
      </c>
      <c r="Y117" s="8"/>
      <c r="Z117" s="8"/>
      <c r="AA117" s="8"/>
      <c r="AB117" s="8"/>
      <c r="AC117" s="8"/>
      <c r="AD117" s="8"/>
      <c r="AE117" s="8"/>
      <c r="AF117" s="8"/>
    </row>
    <row r="118" spans="1:32" ht="15" x14ac:dyDescent="0.3">
      <c r="A118" s="6">
        <v>117</v>
      </c>
      <c r="B118" s="6">
        <f t="shared" ca="1" si="65"/>
        <v>0.63284332715363711</v>
      </c>
      <c r="C118" s="9">
        <f t="shared" ca="1" si="66"/>
        <v>369.18174658681016</v>
      </c>
      <c r="D118" s="6">
        <f t="shared" ca="1" si="58"/>
        <v>0.14689666631363663</v>
      </c>
      <c r="E118" s="6" t="str">
        <f ca="1">LOOKUP(RAND(),{0,0.4,0.7,0.9},{"DEPOSIT","WITHDRAWAL","INQUIRY","LOAN"})</f>
        <v>WITHDRAWAL</v>
      </c>
      <c r="F118" s="6" t="str">
        <f t="shared" ca="1" si="67"/>
        <v>t3</v>
      </c>
      <c r="G118" s="6">
        <f t="shared" ca="1" si="59"/>
        <v>11.508155337816852</v>
      </c>
      <c r="H118" s="6">
        <f t="shared" ca="1" si="68"/>
        <v>384.34482706589392</v>
      </c>
      <c r="I118" s="6">
        <f t="shared" ca="1" si="69"/>
        <v>372.03049341874311</v>
      </c>
      <c r="J118" s="6">
        <f t="shared" ca="1" si="70"/>
        <v>380.68990192462701</v>
      </c>
      <c r="K118" s="9">
        <f t="shared" ca="1" si="71"/>
        <v>374.21779548291323</v>
      </c>
      <c r="L118" s="9">
        <f t="shared" ca="1" si="72"/>
        <v>369.18174658681016</v>
      </c>
      <c r="M118" s="6">
        <f t="shared" ca="1" si="60"/>
        <v>380.68990192462701</v>
      </c>
      <c r="N118" s="6">
        <f t="shared" ca="1" si="73"/>
        <v>0</v>
      </c>
      <c r="O118" s="6">
        <f t="shared" ca="1" si="53"/>
        <v>0</v>
      </c>
      <c r="P118" s="6">
        <f ca="1">COUNTIFS($C$2:C117,"&lt;="&amp;C118,$M$2:M117,"&gt;"&amp;C118)</f>
        <v>3</v>
      </c>
      <c r="Q118" s="9">
        <f t="shared" ca="1" si="61"/>
        <v>0</v>
      </c>
      <c r="R118" s="9">
        <f t="shared" ca="1" si="62"/>
        <v>0</v>
      </c>
      <c r="S118" s="9">
        <f t="shared" ca="1" si="63"/>
        <v>0</v>
      </c>
      <c r="T118" s="6">
        <f t="shared" ca="1" si="64"/>
        <v>0</v>
      </c>
      <c r="U118" s="6">
        <f t="shared" ca="1" si="54"/>
        <v>0</v>
      </c>
      <c r="V118" s="8">
        <f t="shared" ca="1" si="55"/>
        <v>0</v>
      </c>
      <c r="W118" s="8">
        <f t="shared" ca="1" si="56"/>
        <v>11.508155337816852</v>
      </c>
      <c r="X118" s="8">
        <f t="shared" ca="1" si="57"/>
        <v>0</v>
      </c>
      <c r="Y118" s="8"/>
      <c r="Z118" s="8"/>
      <c r="AA118" s="8"/>
      <c r="AB118" s="8"/>
      <c r="AC118" s="8"/>
      <c r="AD118" s="8"/>
      <c r="AE118" s="8"/>
      <c r="AF118" s="8"/>
    </row>
    <row r="119" spans="1:32" ht="15" x14ac:dyDescent="0.3">
      <c r="A119" s="6">
        <v>118</v>
      </c>
      <c r="B119" s="6">
        <f t="shared" ca="1" si="65"/>
        <v>2.0367943979087819</v>
      </c>
      <c r="C119" s="9">
        <f t="shared" ca="1" si="66"/>
        <v>371.21854098471897</v>
      </c>
      <c r="D119" s="6">
        <f t="shared" ca="1" si="58"/>
        <v>0.47885179804525535</v>
      </c>
      <c r="E119" s="6" t="str">
        <f ca="1">LOOKUP(RAND(),{0,0.4,0.7,0.9},{"DEPOSIT","WITHDRAWAL","INQUIRY","LOAN"})</f>
        <v>DEPOSIT</v>
      </c>
      <c r="F119" s="6" t="str">
        <f t="shared" ca="1" si="67"/>
        <v>t2</v>
      </c>
      <c r="G119" s="6">
        <f t="shared" ca="1" si="59"/>
        <v>3.6818206404888576</v>
      </c>
      <c r="H119" s="6">
        <f t="shared" ca="1" si="68"/>
        <v>384.34482706589392</v>
      </c>
      <c r="I119" s="6">
        <f t="shared" ca="1" si="69"/>
        <v>375.71231405923197</v>
      </c>
      <c r="J119" s="6">
        <f t="shared" ca="1" si="70"/>
        <v>380.68990192462701</v>
      </c>
      <c r="K119" s="9">
        <f t="shared" ca="1" si="71"/>
        <v>374.21779548291323</v>
      </c>
      <c r="L119" s="9">
        <f t="shared" ca="1" si="72"/>
        <v>372.03049341874311</v>
      </c>
      <c r="M119" s="6">
        <f t="shared" ca="1" si="60"/>
        <v>375.71231405923197</v>
      </c>
      <c r="N119" s="6">
        <f t="shared" ca="1" si="73"/>
        <v>0.81195243402413553</v>
      </c>
      <c r="O119" s="6">
        <f t="shared" ca="1" si="53"/>
        <v>1</v>
      </c>
      <c r="P119" s="6">
        <f ca="1">COUNTIFS($C$2:C118,"&lt;="&amp;C119,$M$2:M118,"&gt;"&amp;C119)</f>
        <v>4</v>
      </c>
      <c r="Q119" s="9">
        <f t="shared" ca="1" si="61"/>
        <v>0</v>
      </c>
      <c r="R119" s="9">
        <f t="shared" ca="1" si="62"/>
        <v>0</v>
      </c>
      <c r="S119" s="9">
        <f t="shared" ca="1" si="63"/>
        <v>0</v>
      </c>
      <c r="T119" s="6">
        <f t="shared" ca="1" si="64"/>
        <v>0</v>
      </c>
      <c r="U119" s="6">
        <f t="shared" ca="1" si="54"/>
        <v>0</v>
      </c>
      <c r="V119" s="8">
        <f t="shared" ca="1" si="55"/>
        <v>3.6818206404888576</v>
      </c>
      <c r="W119" s="8">
        <f t="shared" ca="1" si="56"/>
        <v>0</v>
      </c>
      <c r="X119" s="8">
        <f t="shared" ca="1" si="57"/>
        <v>0</v>
      </c>
      <c r="Y119" s="8"/>
      <c r="Z119" s="8"/>
      <c r="AA119" s="8"/>
      <c r="AB119" s="8"/>
      <c r="AC119" s="8"/>
      <c r="AD119" s="8"/>
      <c r="AE119" s="8"/>
      <c r="AF119" s="8"/>
    </row>
    <row r="120" spans="1:32" ht="15" x14ac:dyDescent="0.3">
      <c r="A120" s="6">
        <v>119</v>
      </c>
      <c r="B120" s="6">
        <f t="shared" ca="1" si="65"/>
        <v>0.73090372393115377</v>
      </c>
      <c r="C120" s="9">
        <f t="shared" ca="1" si="66"/>
        <v>371.94944470865011</v>
      </c>
      <c r="D120" s="6">
        <f t="shared" ca="1" si="58"/>
        <v>0.11785499310729186</v>
      </c>
      <c r="E120" s="6" t="str">
        <f ca="1">LOOKUP(RAND(),{0,0.4,0.7,0.9},{"DEPOSIT","WITHDRAWAL","INQUIRY","LOAN"})</f>
        <v>INQUIRY</v>
      </c>
      <c r="F120" s="6" t="str">
        <f t="shared" ca="1" si="67"/>
        <v>t4</v>
      </c>
      <c r="G120" s="6">
        <f t="shared" ca="1" si="59"/>
        <v>8.5532011286835665</v>
      </c>
      <c r="H120" s="6">
        <f t="shared" ca="1" si="68"/>
        <v>384.34482706589392</v>
      </c>
      <c r="I120" s="6">
        <f t="shared" ca="1" si="69"/>
        <v>375.71231405923197</v>
      </c>
      <c r="J120" s="6">
        <f t="shared" ca="1" si="70"/>
        <v>380.68990192462701</v>
      </c>
      <c r="K120" s="9">
        <f t="shared" ca="1" si="71"/>
        <v>382.77099661159679</v>
      </c>
      <c r="L120" s="9">
        <f t="shared" ca="1" si="72"/>
        <v>374.21779548291323</v>
      </c>
      <c r="M120" s="6">
        <f t="shared" ca="1" si="60"/>
        <v>382.77099661159679</v>
      </c>
      <c r="N120" s="6">
        <f t="shared" ca="1" si="73"/>
        <v>3.762869350581866</v>
      </c>
      <c r="O120" s="6">
        <f t="shared" ca="1" si="53"/>
        <v>1</v>
      </c>
      <c r="P120" s="6">
        <f ca="1">COUNTIFS($C$2:C119,"&lt;="&amp;C120,$M$2:M119,"&gt;"&amp;C120)</f>
        <v>5</v>
      </c>
      <c r="Q120" s="9">
        <f t="shared" ca="1" si="61"/>
        <v>0</v>
      </c>
      <c r="R120" s="9">
        <f t="shared" ca="1" si="62"/>
        <v>0</v>
      </c>
      <c r="S120" s="9">
        <f t="shared" ca="1" si="63"/>
        <v>0</v>
      </c>
      <c r="T120" s="6">
        <f t="shared" ca="1" si="64"/>
        <v>0</v>
      </c>
      <c r="U120" s="6">
        <f t="shared" ca="1" si="54"/>
        <v>0</v>
      </c>
      <c r="V120" s="8">
        <f t="shared" ca="1" si="55"/>
        <v>0</v>
      </c>
      <c r="W120" s="8">
        <f t="shared" ca="1" si="56"/>
        <v>0</v>
      </c>
      <c r="X120" s="8">
        <f t="shared" ca="1" si="57"/>
        <v>8.5532011286835665</v>
      </c>
      <c r="Y120" s="8"/>
      <c r="Z120" s="8"/>
      <c r="AA120" s="8"/>
      <c r="AB120" s="8"/>
      <c r="AC120" s="8"/>
      <c r="AD120" s="8"/>
      <c r="AE120" s="8"/>
      <c r="AF120" s="8"/>
    </row>
    <row r="121" spans="1:32" ht="15" x14ac:dyDescent="0.3">
      <c r="A121" s="6">
        <v>120</v>
      </c>
      <c r="B121" s="6">
        <f t="shared" ca="1" si="65"/>
        <v>2.2913639928400822</v>
      </c>
      <c r="C121" s="9">
        <f t="shared" ca="1" si="66"/>
        <v>374.24080870149021</v>
      </c>
      <c r="D121" s="6">
        <f t="shared" ca="1" si="58"/>
        <v>0.1339240250268704</v>
      </c>
      <c r="E121" s="6" t="str">
        <f ca="1">LOOKUP(RAND(),{0,0.4,0.7,0.9},{"DEPOSIT","WITHDRAWAL","INQUIRY","LOAN"})</f>
        <v>DEPOSIT</v>
      </c>
      <c r="F121" s="6" t="str">
        <f t="shared" ca="1" si="67"/>
        <v>t2</v>
      </c>
      <c r="G121" s="6">
        <f t="shared" ca="1" si="59"/>
        <v>10.052413086175566</v>
      </c>
      <c r="H121" s="6">
        <f t="shared" ca="1" si="68"/>
        <v>384.34482706589392</v>
      </c>
      <c r="I121" s="6">
        <f t="shared" ca="1" si="69"/>
        <v>385.76472714540756</v>
      </c>
      <c r="J121" s="6">
        <f t="shared" ca="1" si="70"/>
        <v>380.68990192462701</v>
      </c>
      <c r="K121" s="9">
        <f t="shared" ca="1" si="71"/>
        <v>382.77099661159679</v>
      </c>
      <c r="L121" s="9">
        <f t="shared" ca="1" si="72"/>
        <v>375.71231405923197</v>
      </c>
      <c r="M121" s="6">
        <f t="shared" ca="1" si="60"/>
        <v>385.76472714540756</v>
      </c>
      <c r="N121" s="6">
        <f t="shared" ca="1" si="73"/>
        <v>1.4715053577417621</v>
      </c>
      <c r="O121" s="6">
        <f t="shared" ca="1" si="53"/>
        <v>1</v>
      </c>
      <c r="P121" s="6">
        <f ca="1">COUNTIFS($C$2:C120,"&lt;="&amp;C121,$M$2:M120,"&gt;"&amp;C121)</f>
        <v>4</v>
      </c>
      <c r="Q121" s="9">
        <f t="shared" ca="1" si="61"/>
        <v>0</v>
      </c>
      <c r="R121" s="9">
        <f t="shared" ca="1" si="62"/>
        <v>0</v>
      </c>
      <c r="S121" s="9">
        <f t="shared" ca="1" si="63"/>
        <v>0</v>
      </c>
      <c r="T121" s="6">
        <f t="shared" ca="1" si="64"/>
        <v>0</v>
      </c>
      <c r="U121" s="6">
        <f t="shared" ca="1" si="54"/>
        <v>0</v>
      </c>
      <c r="V121" s="8">
        <f t="shared" ca="1" si="55"/>
        <v>10.052413086175566</v>
      </c>
      <c r="W121" s="8">
        <f t="shared" ca="1" si="56"/>
        <v>0</v>
      </c>
      <c r="X121" s="8">
        <f t="shared" ca="1" si="57"/>
        <v>0</v>
      </c>
      <c r="Y121" s="8"/>
      <c r="Z121" s="8"/>
      <c r="AA121" s="8"/>
      <c r="AB121" s="8"/>
      <c r="AC121" s="8"/>
      <c r="AD121" s="8"/>
      <c r="AE121" s="8"/>
      <c r="AF121" s="8"/>
    </row>
    <row r="122" spans="1:32" ht="15" x14ac:dyDescent="0.3">
      <c r="A122" s="6">
        <v>121</v>
      </c>
      <c r="B122" s="6">
        <f t="shared" ca="1" si="65"/>
        <v>5.8816991629977871</v>
      </c>
      <c r="C122" s="9">
        <f t="shared" ca="1" si="66"/>
        <v>380.122507864488</v>
      </c>
      <c r="D122" s="6">
        <f t="shared" ca="1" si="58"/>
        <v>0.275230060454837</v>
      </c>
      <c r="E122" s="6" t="str">
        <f ca="1">LOOKUP(RAND(),{0,0.4,0.7,0.9},{"DEPOSIT","WITHDRAWAL","INQUIRY","LOAN"})</f>
        <v>DEPOSIT</v>
      </c>
      <c r="F122" s="6" t="str">
        <f t="shared" ca="1" si="67"/>
        <v>t3</v>
      </c>
      <c r="G122" s="6">
        <f t="shared" ca="1" si="59"/>
        <v>6.4507397379216966</v>
      </c>
      <c r="H122" s="6">
        <f t="shared" ca="1" si="68"/>
        <v>384.34482706589392</v>
      </c>
      <c r="I122" s="6">
        <f t="shared" ca="1" si="69"/>
        <v>385.76472714540756</v>
      </c>
      <c r="J122" s="6">
        <f t="shared" ca="1" si="70"/>
        <v>387.14064166254872</v>
      </c>
      <c r="K122" s="9">
        <f t="shared" ca="1" si="71"/>
        <v>382.77099661159679</v>
      </c>
      <c r="L122" s="9">
        <f t="shared" ca="1" si="72"/>
        <v>380.68990192462701</v>
      </c>
      <c r="M122" s="6">
        <f t="shared" ca="1" si="60"/>
        <v>387.14064166254872</v>
      </c>
      <c r="N122" s="6">
        <f t="shared" ca="1" si="73"/>
        <v>0.56739406013900862</v>
      </c>
      <c r="O122" s="6">
        <f t="shared" ca="1" si="53"/>
        <v>1</v>
      </c>
      <c r="P122" s="6">
        <f ca="1">COUNTIFS($C$2:C121,"&lt;="&amp;C122,$M$2:M121,"&gt;"&amp;C122)</f>
        <v>4</v>
      </c>
      <c r="Q122" s="9">
        <f t="shared" ca="1" si="61"/>
        <v>0</v>
      </c>
      <c r="R122" s="9">
        <f t="shared" ca="1" si="62"/>
        <v>0</v>
      </c>
      <c r="S122" s="9">
        <f t="shared" ca="1" si="63"/>
        <v>0</v>
      </c>
      <c r="T122" s="6">
        <f t="shared" ca="1" si="64"/>
        <v>0</v>
      </c>
      <c r="U122" s="6">
        <f t="shared" ca="1" si="54"/>
        <v>0</v>
      </c>
      <c r="V122" s="8">
        <f t="shared" ca="1" si="55"/>
        <v>0</v>
      </c>
      <c r="W122" s="8">
        <f t="shared" ca="1" si="56"/>
        <v>6.4507397379216966</v>
      </c>
      <c r="X122" s="8">
        <f t="shared" ca="1" si="57"/>
        <v>0</v>
      </c>
      <c r="Y122" s="8"/>
      <c r="Z122" s="8"/>
      <c r="AA122" s="8"/>
      <c r="AB122" s="8"/>
      <c r="AC122" s="8"/>
      <c r="AD122" s="8"/>
      <c r="AE122" s="8"/>
      <c r="AF122" s="8"/>
    </row>
    <row r="123" spans="1:32" ht="15" x14ac:dyDescent="0.3">
      <c r="A123" s="6">
        <v>122</v>
      </c>
      <c r="B123" s="6">
        <f t="shared" ca="1" si="65"/>
        <v>1.2470927530242819</v>
      </c>
      <c r="C123" s="9">
        <f t="shared" ca="1" si="66"/>
        <v>381.36960061751228</v>
      </c>
      <c r="D123" s="6">
        <f t="shared" ca="1" si="58"/>
        <v>3.8957062429112899E-2</v>
      </c>
      <c r="E123" s="6" t="str">
        <f ca="1">LOOKUP(RAND(),{0,0.4,0.7,0.9},{"DEPOSIT","WITHDRAWAL","INQUIRY","LOAN"})</f>
        <v>WITHDRAWAL</v>
      </c>
      <c r="F123" s="6" t="str">
        <f t="shared" ca="1" si="67"/>
        <v>t4</v>
      </c>
      <c r="G123" s="6">
        <f t="shared" ca="1" si="59"/>
        <v>19.471771216283564</v>
      </c>
      <c r="H123" s="6">
        <f t="shared" ca="1" si="68"/>
        <v>384.34482706589392</v>
      </c>
      <c r="I123" s="6">
        <f t="shared" ca="1" si="69"/>
        <v>385.76472714540756</v>
      </c>
      <c r="J123" s="6">
        <f t="shared" ca="1" si="70"/>
        <v>387.14064166254872</v>
      </c>
      <c r="K123" s="9">
        <f t="shared" ca="1" si="71"/>
        <v>402.24276782788036</v>
      </c>
      <c r="L123" s="9">
        <f t="shared" ca="1" si="72"/>
        <v>382.77099661159679</v>
      </c>
      <c r="M123" s="6">
        <f t="shared" ca="1" si="60"/>
        <v>402.24276782788036</v>
      </c>
      <c r="N123" s="6">
        <f t="shared" ca="1" si="73"/>
        <v>2.9752264483816475</v>
      </c>
      <c r="O123" s="6">
        <f t="shared" ca="1" si="53"/>
        <v>1</v>
      </c>
      <c r="P123" s="6">
        <f ca="1">COUNTIFS($C$2:C122,"&lt;="&amp;C123,$M$2:M122,"&gt;"&amp;C123)</f>
        <v>4</v>
      </c>
      <c r="Q123" s="9">
        <f t="shared" ca="1" si="61"/>
        <v>0</v>
      </c>
      <c r="R123" s="9">
        <f t="shared" ca="1" si="62"/>
        <v>0</v>
      </c>
      <c r="S123" s="9">
        <f t="shared" ca="1" si="63"/>
        <v>0</v>
      </c>
      <c r="T123" s="6">
        <f t="shared" ca="1" si="64"/>
        <v>0</v>
      </c>
      <c r="U123" s="6">
        <f t="shared" ca="1" si="54"/>
        <v>0</v>
      </c>
      <c r="V123" s="8">
        <f t="shared" ca="1" si="55"/>
        <v>0</v>
      </c>
      <c r="W123" s="8">
        <f t="shared" ca="1" si="56"/>
        <v>0</v>
      </c>
      <c r="X123" s="8">
        <f t="shared" ca="1" si="57"/>
        <v>19.471771216283564</v>
      </c>
      <c r="Y123" s="8"/>
      <c r="Z123" s="8"/>
      <c r="AA123" s="8"/>
      <c r="AB123" s="8"/>
      <c r="AC123" s="8"/>
      <c r="AD123" s="8"/>
      <c r="AE123" s="8"/>
      <c r="AF123" s="8"/>
    </row>
    <row r="124" spans="1:32" ht="15" x14ac:dyDescent="0.3">
      <c r="A124" s="6">
        <v>123</v>
      </c>
      <c r="B124" s="6">
        <f t="shared" ca="1" si="65"/>
        <v>0.93856396165351474</v>
      </c>
      <c r="C124" s="9">
        <f t="shared" ca="1" si="66"/>
        <v>382.3081645791658</v>
      </c>
      <c r="D124" s="6">
        <f t="shared" ca="1" si="58"/>
        <v>0.56926222467723564</v>
      </c>
      <c r="E124" s="6" t="str">
        <f ca="1">LOOKUP(RAND(),{0,0.4,0.7,0.9},{"DEPOSIT","WITHDRAWAL","INQUIRY","LOAN"})</f>
        <v>DEPOSIT</v>
      </c>
      <c r="F124" s="6" t="str">
        <f t="shared" ca="1" si="67"/>
        <v>t1</v>
      </c>
      <c r="G124" s="6">
        <f t="shared" ca="1" si="59"/>
        <v>2.8170704960502486</v>
      </c>
      <c r="H124" s="6">
        <f t="shared" ca="1" si="68"/>
        <v>387.16189756194416</v>
      </c>
      <c r="I124" s="6">
        <f t="shared" ca="1" si="69"/>
        <v>385.76472714540756</v>
      </c>
      <c r="J124" s="6">
        <f t="shared" ca="1" si="70"/>
        <v>387.14064166254872</v>
      </c>
      <c r="K124" s="9">
        <f t="shared" ca="1" si="71"/>
        <v>402.24276782788036</v>
      </c>
      <c r="L124" s="9">
        <f t="shared" ca="1" si="72"/>
        <v>384.34482706589392</v>
      </c>
      <c r="M124" s="6">
        <f t="shared" ca="1" si="60"/>
        <v>387.16189756194416</v>
      </c>
      <c r="N124" s="6">
        <f t="shared" ca="1" si="73"/>
        <v>2.0366624867281189</v>
      </c>
      <c r="O124" s="6">
        <f t="shared" ca="1" si="53"/>
        <v>1</v>
      </c>
      <c r="P124" s="6">
        <f ca="1">COUNTIFS($C$2:C123,"&lt;="&amp;C124,$M$2:M123,"&gt;"&amp;C124)</f>
        <v>5</v>
      </c>
      <c r="Q124" s="9">
        <f t="shared" ca="1" si="61"/>
        <v>0</v>
      </c>
      <c r="R124" s="9">
        <f t="shared" ca="1" si="62"/>
        <v>0</v>
      </c>
      <c r="S124" s="9">
        <f t="shared" ca="1" si="63"/>
        <v>0</v>
      </c>
      <c r="T124" s="6">
        <f t="shared" ca="1" si="64"/>
        <v>0</v>
      </c>
      <c r="U124" s="6">
        <f t="shared" ca="1" si="54"/>
        <v>2.8170704960502486</v>
      </c>
      <c r="V124" s="8">
        <f t="shared" ca="1" si="55"/>
        <v>0</v>
      </c>
      <c r="W124" s="8">
        <f t="shared" ca="1" si="56"/>
        <v>0</v>
      </c>
      <c r="X124" s="8">
        <f t="shared" ca="1" si="57"/>
        <v>0</v>
      </c>
      <c r="Y124" s="8"/>
      <c r="Z124" s="8"/>
      <c r="AA124" s="8"/>
      <c r="AB124" s="8"/>
      <c r="AC124" s="8"/>
      <c r="AD124" s="8"/>
      <c r="AE124" s="8"/>
      <c r="AF124" s="8"/>
    </row>
    <row r="125" spans="1:32" ht="15" x14ac:dyDescent="0.3">
      <c r="A125" s="6">
        <v>124</v>
      </c>
      <c r="B125" s="6">
        <f t="shared" ca="1" si="65"/>
        <v>0.20824557734464061</v>
      </c>
      <c r="C125" s="9">
        <f t="shared" ca="1" si="66"/>
        <v>382.51641015651046</v>
      </c>
      <c r="D125" s="6">
        <f t="shared" ca="1" si="58"/>
        <v>0.80266936273905709</v>
      </c>
      <c r="E125" s="6" t="str">
        <f ca="1">LOOKUP(RAND(),{0,0.4,0.7,0.9},{"DEPOSIT","WITHDRAWAL","INQUIRY","LOAN"})</f>
        <v>DEPOSIT</v>
      </c>
      <c r="F125" s="6" t="str">
        <f t="shared" ca="1" si="67"/>
        <v>t2</v>
      </c>
      <c r="G125" s="6">
        <f t="shared" ca="1" si="59"/>
        <v>1.0990620116650103</v>
      </c>
      <c r="H125" s="6">
        <f t="shared" ca="1" si="68"/>
        <v>387.16189756194416</v>
      </c>
      <c r="I125" s="6">
        <f t="shared" ca="1" si="69"/>
        <v>386.86378915707257</v>
      </c>
      <c r="J125" s="6">
        <f t="shared" ca="1" si="70"/>
        <v>387.14064166254872</v>
      </c>
      <c r="K125" s="9">
        <f t="shared" ca="1" si="71"/>
        <v>402.24276782788036</v>
      </c>
      <c r="L125" s="9">
        <f t="shared" ca="1" si="72"/>
        <v>385.76472714540756</v>
      </c>
      <c r="M125" s="6">
        <f t="shared" ca="1" si="60"/>
        <v>386.86378915707257</v>
      </c>
      <c r="N125" s="6">
        <f t="shared" ca="1" si="73"/>
        <v>3.248316988897102</v>
      </c>
      <c r="O125" s="6">
        <f t="shared" ca="1" si="53"/>
        <v>1</v>
      </c>
      <c r="P125" s="6">
        <f ca="1">COUNTIFS($C$2:C124,"&lt;="&amp;C125,$M$2:M124,"&gt;"&amp;C125)</f>
        <v>6</v>
      </c>
      <c r="Q125" s="9">
        <f t="shared" ca="1" si="61"/>
        <v>0</v>
      </c>
      <c r="R125" s="9">
        <f t="shared" ca="1" si="62"/>
        <v>0</v>
      </c>
      <c r="S125" s="9">
        <f t="shared" ca="1" si="63"/>
        <v>0</v>
      </c>
      <c r="T125" s="6">
        <f t="shared" ca="1" si="64"/>
        <v>0</v>
      </c>
      <c r="U125" s="6">
        <f t="shared" ca="1" si="54"/>
        <v>0</v>
      </c>
      <c r="V125" s="8">
        <f t="shared" ca="1" si="55"/>
        <v>1.0990620116650103</v>
      </c>
      <c r="W125" s="8">
        <f t="shared" ca="1" si="56"/>
        <v>0</v>
      </c>
      <c r="X125" s="8">
        <f t="shared" ca="1" si="57"/>
        <v>0</v>
      </c>
      <c r="Y125" s="8"/>
      <c r="Z125" s="8"/>
      <c r="AA125" s="8"/>
      <c r="AB125" s="8"/>
      <c r="AC125" s="8"/>
      <c r="AD125" s="8"/>
      <c r="AE125" s="8"/>
      <c r="AF125" s="8"/>
    </row>
    <row r="126" spans="1:32" ht="15" x14ac:dyDescent="0.3">
      <c r="A126" s="6">
        <v>125</v>
      </c>
      <c r="B126" s="6">
        <f t="shared" ca="1" si="65"/>
        <v>0.3440745162376701</v>
      </c>
      <c r="C126" s="9">
        <f t="shared" ca="1" si="66"/>
        <v>382.86048467274816</v>
      </c>
      <c r="D126" s="6">
        <f t="shared" ca="1" si="58"/>
        <v>0.11768469820831695</v>
      </c>
      <c r="E126" s="6" t="str">
        <f ca="1">LOOKUP(RAND(),{0,0.4,0.7,0.9},{"DEPOSIT","WITHDRAWAL","INQUIRY","LOAN"})</f>
        <v>WITHDRAWAL</v>
      </c>
      <c r="F126" s="6" t="str">
        <f t="shared" ca="1" si="67"/>
        <v>t2</v>
      </c>
      <c r="G126" s="6">
        <f t="shared" ca="1" si="59"/>
        <v>12.83847767936275</v>
      </c>
      <c r="H126" s="6">
        <f t="shared" ca="1" si="68"/>
        <v>387.16189756194416</v>
      </c>
      <c r="I126" s="6">
        <f t="shared" ca="1" si="69"/>
        <v>399.70226683643534</v>
      </c>
      <c r="J126" s="6">
        <f t="shared" ca="1" si="70"/>
        <v>387.14064166254872</v>
      </c>
      <c r="K126" s="9">
        <f t="shared" ca="1" si="71"/>
        <v>402.24276782788036</v>
      </c>
      <c r="L126" s="9">
        <f t="shared" ca="1" si="72"/>
        <v>386.86378915707257</v>
      </c>
      <c r="M126" s="6">
        <f t="shared" ca="1" si="60"/>
        <v>399.70226683643534</v>
      </c>
      <c r="N126" s="6">
        <f t="shared" ca="1" si="73"/>
        <v>4.003304484324417</v>
      </c>
      <c r="O126" s="6">
        <f t="shared" ca="1" si="53"/>
        <v>1</v>
      </c>
      <c r="P126" s="6">
        <f ca="1">COUNTIFS($C$2:C125,"&lt;="&amp;C126,$M$2:M125,"&gt;"&amp;C126)</f>
        <v>6</v>
      </c>
      <c r="Q126" s="9">
        <f t="shared" ca="1" si="61"/>
        <v>0</v>
      </c>
      <c r="R126" s="9">
        <f t="shared" ca="1" si="62"/>
        <v>0</v>
      </c>
      <c r="S126" s="9">
        <f t="shared" ca="1" si="63"/>
        <v>0</v>
      </c>
      <c r="T126" s="6">
        <f t="shared" ca="1" si="64"/>
        <v>0</v>
      </c>
      <c r="U126" s="6">
        <f t="shared" ca="1" si="54"/>
        <v>0</v>
      </c>
      <c r="V126" s="8">
        <f t="shared" ca="1" si="55"/>
        <v>12.83847767936275</v>
      </c>
      <c r="W126" s="8">
        <f t="shared" ca="1" si="56"/>
        <v>0</v>
      </c>
      <c r="X126" s="8">
        <f t="shared" ca="1" si="57"/>
        <v>0</v>
      </c>
      <c r="Y126" s="8"/>
      <c r="Z126" s="8"/>
      <c r="AA126" s="8"/>
      <c r="AB126" s="8"/>
      <c r="AC126" s="8"/>
      <c r="AD126" s="8"/>
      <c r="AE126" s="8"/>
      <c r="AF126" s="8"/>
    </row>
    <row r="127" spans="1:32" ht="15" x14ac:dyDescent="0.3">
      <c r="A127" s="6">
        <v>126</v>
      </c>
      <c r="B127" s="6">
        <f t="shared" ca="1" si="65"/>
        <v>7.5646893869103105</v>
      </c>
      <c r="C127" s="9">
        <f t="shared" ca="1" si="66"/>
        <v>390.42517405965845</v>
      </c>
      <c r="D127" s="6">
        <f t="shared" ca="1" si="58"/>
        <v>0.60969549526328759</v>
      </c>
      <c r="E127" s="6" t="str">
        <f ca="1">LOOKUP(RAND(),{0,0.4,0.7,0.9},{"DEPOSIT","WITHDRAWAL","INQUIRY","LOAN"})</f>
        <v>DEPOSIT</v>
      </c>
      <c r="F127" s="6" t="str">
        <f t="shared" ca="1" si="67"/>
        <v>t3</v>
      </c>
      <c r="G127" s="6">
        <f t="shared" ca="1" si="59"/>
        <v>2.4739781727180348</v>
      </c>
      <c r="H127" s="6">
        <f t="shared" ca="1" si="68"/>
        <v>387.16189756194416</v>
      </c>
      <c r="I127" s="6">
        <f t="shared" ca="1" si="69"/>
        <v>399.70226683643534</v>
      </c>
      <c r="J127" s="6">
        <f t="shared" ca="1" si="70"/>
        <v>392.89915223237648</v>
      </c>
      <c r="K127" s="9">
        <f t="shared" ca="1" si="71"/>
        <v>402.24276782788036</v>
      </c>
      <c r="L127" s="9">
        <f t="shared" ca="1" si="72"/>
        <v>390.42517405965845</v>
      </c>
      <c r="M127" s="6">
        <f t="shared" ca="1" si="60"/>
        <v>392.89915223237648</v>
      </c>
      <c r="N127" s="6">
        <f t="shared" ca="1" si="73"/>
        <v>0</v>
      </c>
      <c r="O127" s="6">
        <f t="shared" ca="1" si="53"/>
        <v>0</v>
      </c>
      <c r="P127" s="6">
        <f ca="1">COUNTIFS($C$2:C126,"&lt;="&amp;C127,$M$2:M126,"&gt;"&amp;C127)</f>
        <v>2</v>
      </c>
      <c r="Q127" s="9">
        <f t="shared" ca="1" si="61"/>
        <v>3.263276497714287</v>
      </c>
      <c r="R127" s="9">
        <f t="shared" ca="1" si="62"/>
        <v>0</v>
      </c>
      <c r="S127" s="9">
        <f t="shared" ca="1" si="63"/>
        <v>0</v>
      </c>
      <c r="T127" s="6">
        <f t="shared" ca="1" si="64"/>
        <v>0</v>
      </c>
      <c r="U127" s="6">
        <f t="shared" ca="1" si="54"/>
        <v>0</v>
      </c>
      <c r="V127" s="8">
        <f t="shared" ca="1" si="55"/>
        <v>0</v>
      </c>
      <c r="W127" s="8">
        <f t="shared" ca="1" si="56"/>
        <v>2.4739781727180348</v>
      </c>
      <c r="X127" s="8">
        <f t="shared" ca="1" si="57"/>
        <v>0</v>
      </c>
      <c r="Y127" s="8"/>
      <c r="Z127" s="8"/>
      <c r="AA127" s="8"/>
      <c r="AB127" s="8"/>
      <c r="AC127" s="8"/>
      <c r="AD127" s="8"/>
      <c r="AE127" s="8"/>
      <c r="AF127" s="8"/>
    </row>
    <row r="128" spans="1:32" ht="15" x14ac:dyDescent="0.3">
      <c r="A128" s="6">
        <v>127</v>
      </c>
      <c r="B128" s="6">
        <f t="shared" ca="1" si="65"/>
        <v>0.6458729587983385</v>
      </c>
      <c r="C128" s="9">
        <f t="shared" ca="1" si="66"/>
        <v>391.0710470184568</v>
      </c>
      <c r="D128" s="6">
        <f t="shared" ca="1" si="58"/>
        <v>0.15720666237607162</v>
      </c>
      <c r="E128" s="6" t="str">
        <f ca="1">LOOKUP(RAND(),{0,0.4,0.7,0.9},{"DEPOSIT","WITHDRAWAL","INQUIRY","LOAN"})</f>
        <v>WITHDRAWAL</v>
      </c>
      <c r="F128" s="6" t="str">
        <f t="shared" ca="1" si="67"/>
        <v>t1</v>
      </c>
      <c r="G128" s="6">
        <f t="shared" ca="1" si="59"/>
        <v>11.101164110147575</v>
      </c>
      <c r="H128" s="6">
        <f t="shared" ca="1" si="68"/>
        <v>402.17221112860437</v>
      </c>
      <c r="I128" s="6">
        <f t="shared" ca="1" si="69"/>
        <v>399.70226683643534</v>
      </c>
      <c r="J128" s="6">
        <f t="shared" ca="1" si="70"/>
        <v>392.89915223237648</v>
      </c>
      <c r="K128" s="9">
        <f t="shared" ca="1" si="71"/>
        <v>402.24276782788036</v>
      </c>
      <c r="L128" s="9">
        <f t="shared" ca="1" si="72"/>
        <v>391.0710470184568</v>
      </c>
      <c r="M128" s="6">
        <f t="shared" ca="1" si="60"/>
        <v>402.17221112860437</v>
      </c>
      <c r="N128" s="6">
        <f t="shared" ca="1" si="73"/>
        <v>0</v>
      </c>
      <c r="O128" s="6">
        <f t="shared" ca="1" si="53"/>
        <v>0</v>
      </c>
      <c r="P128" s="6">
        <f ca="1">COUNTIFS($C$2:C127,"&lt;="&amp;C128,$M$2:M127,"&gt;"&amp;C128)</f>
        <v>3</v>
      </c>
      <c r="Q128" s="9">
        <f t="shared" ca="1" si="61"/>
        <v>0</v>
      </c>
      <c r="R128" s="9">
        <f t="shared" ca="1" si="62"/>
        <v>0</v>
      </c>
      <c r="S128" s="9">
        <f t="shared" ca="1" si="63"/>
        <v>0</v>
      </c>
      <c r="T128" s="6">
        <f t="shared" ca="1" si="64"/>
        <v>0</v>
      </c>
      <c r="U128" s="6">
        <f t="shared" ca="1" si="54"/>
        <v>11.101164110147575</v>
      </c>
      <c r="V128" s="8">
        <f t="shared" ca="1" si="55"/>
        <v>0</v>
      </c>
      <c r="W128" s="8">
        <f t="shared" ca="1" si="56"/>
        <v>0</v>
      </c>
      <c r="X128" s="8">
        <f t="shared" ca="1" si="57"/>
        <v>0</v>
      </c>
      <c r="Y128" s="8"/>
      <c r="Z128" s="8"/>
      <c r="AA128" s="8"/>
      <c r="AB128" s="8"/>
      <c r="AC128" s="8"/>
      <c r="AD128" s="8"/>
      <c r="AE128" s="8"/>
      <c r="AF128" s="8"/>
    </row>
    <row r="129" spans="1:32" ht="15" x14ac:dyDescent="0.3">
      <c r="A129" s="6">
        <v>128</v>
      </c>
      <c r="B129" s="6">
        <f t="shared" ca="1" si="65"/>
        <v>3.9329315921067352</v>
      </c>
      <c r="C129" s="9">
        <f t="shared" ca="1" si="66"/>
        <v>395.00397861056354</v>
      </c>
      <c r="D129" s="6">
        <f t="shared" ca="1" si="58"/>
        <v>0.88483348382856042</v>
      </c>
      <c r="E129" s="6" t="str">
        <f ca="1">LOOKUP(RAND(),{0,0.4,0.7,0.9},{"DEPOSIT","WITHDRAWAL","INQUIRY","LOAN"})</f>
        <v>DEPOSIT</v>
      </c>
      <c r="F129" s="6" t="str">
        <f t="shared" ca="1" si="67"/>
        <v>t3</v>
      </c>
      <c r="G129" s="6">
        <f t="shared" ca="1" si="59"/>
        <v>1</v>
      </c>
      <c r="H129" s="6">
        <f t="shared" ca="1" si="68"/>
        <v>402.17221112860437</v>
      </c>
      <c r="I129" s="6">
        <f t="shared" ca="1" si="69"/>
        <v>399.70226683643534</v>
      </c>
      <c r="J129" s="6">
        <f t="shared" ca="1" si="70"/>
        <v>396.00397861056354</v>
      </c>
      <c r="K129" s="9">
        <f t="shared" ca="1" si="71"/>
        <v>402.24276782788036</v>
      </c>
      <c r="L129" s="9">
        <f t="shared" ca="1" si="72"/>
        <v>395.00397861056354</v>
      </c>
      <c r="M129" s="6">
        <f t="shared" ca="1" si="60"/>
        <v>396.00397861056354</v>
      </c>
      <c r="N129" s="6">
        <f t="shared" ca="1" si="73"/>
        <v>0</v>
      </c>
      <c r="O129" s="6">
        <f t="shared" ca="1" si="53"/>
        <v>0</v>
      </c>
      <c r="P129" s="6">
        <f ca="1">COUNTIFS($C$2:C128,"&lt;="&amp;C129,$M$2:M128,"&gt;"&amp;C129)</f>
        <v>3</v>
      </c>
      <c r="Q129" s="9">
        <f t="shared" ca="1" si="61"/>
        <v>0</v>
      </c>
      <c r="R129" s="9">
        <f t="shared" ca="1" si="62"/>
        <v>0</v>
      </c>
      <c r="S129" s="9">
        <f t="shared" ca="1" si="63"/>
        <v>0</v>
      </c>
      <c r="T129" s="6">
        <f t="shared" ca="1" si="64"/>
        <v>0</v>
      </c>
      <c r="U129" s="6">
        <f t="shared" ca="1" si="54"/>
        <v>0</v>
      </c>
      <c r="V129" s="8">
        <f t="shared" ca="1" si="55"/>
        <v>0</v>
      </c>
      <c r="W129" s="8">
        <f t="shared" ca="1" si="56"/>
        <v>1</v>
      </c>
      <c r="X129" s="8">
        <f t="shared" ca="1" si="57"/>
        <v>0</v>
      </c>
      <c r="Y129" s="8"/>
      <c r="Z129" s="8"/>
      <c r="AA129" s="8"/>
      <c r="AB129" s="8"/>
      <c r="AC129" s="8"/>
      <c r="AD129" s="8"/>
      <c r="AE129" s="8"/>
      <c r="AF129" s="8"/>
    </row>
    <row r="130" spans="1:32" ht="15" x14ac:dyDescent="0.3">
      <c r="A130" s="6">
        <v>129</v>
      </c>
      <c r="B130" s="6">
        <f t="shared" ca="1" si="65"/>
        <v>0.67976547285781896</v>
      </c>
      <c r="C130" s="9">
        <f t="shared" ca="1" si="66"/>
        <v>395.68374408342135</v>
      </c>
      <c r="D130" s="6">
        <f t="shared" ref="D130:D151" ca="1" si="74">RAND()</f>
        <v>0.1201327393085837</v>
      </c>
      <c r="E130" s="6" t="str">
        <f ca="1">LOOKUP(RAND(),{0,0.4,0.7,0.9},{"DEPOSIT","WITHDRAWAL","INQUIRY","LOAN"})</f>
        <v>INQUIRY</v>
      </c>
      <c r="F130" s="6" t="str">
        <f t="shared" ca="1" si="67"/>
        <v>t3</v>
      </c>
      <c r="G130" s="6">
        <f t="shared" ref="G130:G151" ca="1" si="75">IF(E130="DEPOSIT",MAX(1,-5*LN(D130)),IF(E130="WITHDRAWAL",MAX(1,-6*LN(D130)),IF(E130="INQUIRY",MAX(1,-4*LN(D130)),MAX(1,-12*LN(D130)))))</f>
        <v>8.4766319465616462</v>
      </c>
      <c r="H130" s="6">
        <f t="shared" ca="1" si="68"/>
        <v>402.17221112860437</v>
      </c>
      <c r="I130" s="6">
        <f t="shared" ca="1" si="69"/>
        <v>399.70226683643534</v>
      </c>
      <c r="J130" s="6">
        <f t="shared" ca="1" si="70"/>
        <v>404.4806105571252</v>
      </c>
      <c r="K130" s="9">
        <f t="shared" ca="1" si="71"/>
        <v>402.24276782788036</v>
      </c>
      <c r="L130" s="9">
        <f t="shared" ca="1" si="72"/>
        <v>396.00397861056354</v>
      </c>
      <c r="M130" s="6">
        <f t="shared" ref="M130:M151" ca="1" si="76">L130+G130</f>
        <v>404.4806105571252</v>
      </c>
      <c r="N130" s="6">
        <f t="shared" ca="1" si="73"/>
        <v>0.32023452714219047</v>
      </c>
      <c r="O130" s="6">
        <f t="shared" ca="1" si="53"/>
        <v>1</v>
      </c>
      <c r="P130" s="6">
        <f ca="1">COUNTIFS($C$2:C129,"&lt;="&amp;C130,$M$2:M129,"&gt;"&amp;C130)</f>
        <v>4</v>
      </c>
      <c r="Q130" s="9">
        <f t="shared" ref="Q130:Q151" ca="1" si="77">MAX(0,C130-H130)</f>
        <v>0</v>
      </c>
      <c r="R130" s="9">
        <f t="shared" ref="R130:R151" ca="1" si="78">MAX(0,C130-I130)</f>
        <v>0</v>
      </c>
      <c r="S130" s="9">
        <f t="shared" ref="S130:S151" ca="1" si="79">MAX(0,C130-J130)</f>
        <v>0</v>
      </c>
      <c r="T130" s="6">
        <f t="shared" ref="T130:T151" ca="1" si="80">MAX(0,C130-K130)</f>
        <v>0</v>
      </c>
      <c r="U130" s="6">
        <f t="shared" ca="1" si="54"/>
        <v>0</v>
      </c>
      <c r="V130" s="8">
        <f t="shared" ca="1" si="55"/>
        <v>0</v>
      </c>
      <c r="W130" s="8">
        <f t="shared" ca="1" si="56"/>
        <v>8.4766319465616462</v>
      </c>
      <c r="X130" s="8">
        <f t="shared" ca="1" si="57"/>
        <v>0</v>
      </c>
      <c r="Y130" s="8"/>
      <c r="Z130" s="8"/>
      <c r="AA130" s="8"/>
      <c r="AB130" s="8"/>
      <c r="AC130" s="8"/>
      <c r="AD130" s="8"/>
      <c r="AE130" s="8"/>
      <c r="AF130" s="8"/>
    </row>
    <row r="131" spans="1:32" ht="15" x14ac:dyDescent="0.3">
      <c r="A131" s="6">
        <v>130</v>
      </c>
      <c r="B131" s="6">
        <f t="shared" ref="B131:B151" ca="1" si="81">-LN(1-RAND())/(20/60)</f>
        <v>6.2896166911151005E-2</v>
      </c>
      <c r="C131" s="9">
        <f t="shared" ref="C131:C151" ca="1" si="82">C130+B131</f>
        <v>395.74664025033252</v>
      </c>
      <c r="D131" s="6">
        <f t="shared" ca="1" si="74"/>
        <v>0.41218976942041419</v>
      </c>
      <c r="E131" s="6" t="str">
        <f ca="1">LOOKUP(RAND(),{0,0.4,0.7,0.9},{"DEPOSIT","WITHDRAWAL","INQUIRY","LOAN"})</f>
        <v>WITHDRAWAL</v>
      </c>
      <c r="F131" s="6" t="str">
        <f t="shared" ref="F131:F151" ca="1" si="83">IF(C131&gt;MAX(H130,I130,J130,K130),"t1",IF(MIN(H130,I130,J130,K130)=H130,"t1",(IF(MIN(H130,I130,J130,K130)=I130,"t2",IF(MIN(H130,I130,J130,K130)=J130,"t3","t4")))))</f>
        <v>t2</v>
      </c>
      <c r="G131" s="6">
        <f t="shared" ca="1" si="75"/>
        <v>5.3176285817361348</v>
      </c>
      <c r="H131" s="6">
        <f t="shared" ref="H131:H151" ca="1" si="84">IF(F131="t1",M131,H130)</f>
        <v>402.17221112860437</v>
      </c>
      <c r="I131" s="6">
        <f t="shared" ref="I131:I151" ca="1" si="85">IF(F131="t2",M131,I130)</f>
        <v>405.01989541817147</v>
      </c>
      <c r="J131" s="6">
        <f t="shared" ref="J131:J151" ca="1" si="86">IF(F131="t3",M131,J130)</f>
        <v>404.4806105571252</v>
      </c>
      <c r="K131" s="9">
        <f t="shared" ref="K131:K151" ca="1" si="87">IF(F131="t4",M131,K130)</f>
        <v>402.24276782788036</v>
      </c>
      <c r="L131" s="9">
        <f t="shared" ref="L131:L151" ca="1" si="88">IF(N131=0,C131,MIN(H130,I130,J130,K130))</f>
        <v>399.70226683643534</v>
      </c>
      <c r="M131" s="6">
        <f t="shared" ca="1" si="76"/>
        <v>405.01989541817147</v>
      </c>
      <c r="N131" s="6">
        <f t="shared" ref="N131:N151" ca="1" si="89">IF(C131&lt;MIN(H130,I130,J130),MIN(H130,I130,J130)-C131,0)</f>
        <v>3.9556265861028237</v>
      </c>
      <c r="O131" s="6">
        <f t="shared" ref="O131:O151" ca="1" si="90">IF(N131=0,0,1)</f>
        <v>1</v>
      </c>
      <c r="P131" s="6">
        <f ca="1">COUNTIFS($C$2:C130,"&lt;="&amp;C131,$M$2:M130,"&gt;"&amp;C131)</f>
        <v>5</v>
      </c>
      <c r="Q131" s="9">
        <f t="shared" ca="1" si="77"/>
        <v>0</v>
      </c>
      <c r="R131" s="9">
        <f t="shared" ca="1" si="78"/>
        <v>0</v>
      </c>
      <c r="S131" s="9">
        <f t="shared" ca="1" si="79"/>
        <v>0</v>
      </c>
      <c r="T131" s="6">
        <f t="shared" ca="1" si="80"/>
        <v>0</v>
      </c>
      <c r="U131" s="6">
        <f t="shared" ref="U131:U151" ca="1" si="91">IF(F131="t1",G131,0)</f>
        <v>0</v>
      </c>
      <c r="V131" s="8">
        <f t="shared" ref="V131:V151" ca="1" si="92">IF(F131="t2",G131,0)</f>
        <v>5.3176285817361348</v>
      </c>
      <c r="W131" s="8">
        <f t="shared" ref="W131:W151" ca="1" si="93">IF(F131="t3",G131,0)</f>
        <v>0</v>
      </c>
      <c r="X131" s="8">
        <f t="shared" ref="X131:X151" ca="1" si="94">IF(F131="t4",G131,0)</f>
        <v>0</v>
      </c>
      <c r="Y131" s="8"/>
      <c r="Z131" s="8"/>
      <c r="AA131" s="8"/>
      <c r="AB131" s="8"/>
      <c r="AC131" s="8"/>
      <c r="AD131" s="8"/>
      <c r="AE131" s="8"/>
      <c r="AF131" s="8"/>
    </row>
    <row r="132" spans="1:32" ht="15" x14ac:dyDescent="0.3">
      <c r="A132" s="6">
        <v>131</v>
      </c>
      <c r="B132" s="6">
        <f t="shared" ca="1" si="81"/>
        <v>1.5438985694622336</v>
      </c>
      <c r="C132" s="9">
        <f t="shared" ca="1" si="82"/>
        <v>397.29053881979473</v>
      </c>
      <c r="D132" s="6">
        <f t="shared" ca="1" si="74"/>
        <v>0.59199669822854495</v>
      </c>
      <c r="E132" s="6" t="str">
        <f ca="1">LOOKUP(RAND(),{0,0.4,0.7,0.9},{"DEPOSIT","WITHDRAWAL","INQUIRY","LOAN"})</f>
        <v>DEPOSIT</v>
      </c>
      <c r="F132" s="6" t="str">
        <f t="shared" ca="1" si="83"/>
        <v>t1</v>
      </c>
      <c r="G132" s="6">
        <f t="shared" ca="1" si="75"/>
        <v>2.6212711071516588</v>
      </c>
      <c r="H132" s="6">
        <f t="shared" ca="1" si="84"/>
        <v>404.79348223575602</v>
      </c>
      <c r="I132" s="6">
        <f t="shared" ca="1" si="85"/>
        <v>405.01989541817147</v>
      </c>
      <c r="J132" s="6">
        <f t="shared" ca="1" si="86"/>
        <v>404.4806105571252</v>
      </c>
      <c r="K132" s="9">
        <f t="shared" ca="1" si="87"/>
        <v>402.24276782788036</v>
      </c>
      <c r="L132" s="9">
        <f t="shared" ca="1" si="88"/>
        <v>402.17221112860437</v>
      </c>
      <c r="M132" s="6">
        <f t="shared" ca="1" si="76"/>
        <v>404.79348223575602</v>
      </c>
      <c r="N132" s="6">
        <f t="shared" ca="1" si="89"/>
        <v>4.881672308809641</v>
      </c>
      <c r="O132" s="6">
        <f t="shared" ca="1" si="90"/>
        <v>1</v>
      </c>
      <c r="P132" s="6">
        <f ca="1">COUNTIFS($C$2:C131,"&lt;="&amp;C132,$M$2:M131,"&gt;"&amp;C132)</f>
        <v>5</v>
      </c>
      <c r="Q132" s="9">
        <f t="shared" ca="1" si="77"/>
        <v>0</v>
      </c>
      <c r="R132" s="9">
        <f t="shared" ca="1" si="78"/>
        <v>0</v>
      </c>
      <c r="S132" s="9">
        <f t="shared" ca="1" si="79"/>
        <v>0</v>
      </c>
      <c r="T132" s="6">
        <f t="shared" ca="1" si="80"/>
        <v>0</v>
      </c>
      <c r="U132" s="6">
        <f t="shared" ca="1" si="91"/>
        <v>2.6212711071516588</v>
      </c>
      <c r="V132" s="8">
        <f t="shared" ca="1" si="92"/>
        <v>0</v>
      </c>
      <c r="W132" s="8">
        <f t="shared" ca="1" si="93"/>
        <v>0</v>
      </c>
      <c r="X132" s="8">
        <f t="shared" ca="1" si="94"/>
        <v>0</v>
      </c>
      <c r="Y132" s="8"/>
      <c r="Z132" s="8"/>
      <c r="AA132" s="8"/>
      <c r="AB132" s="8"/>
      <c r="AC132" s="8"/>
      <c r="AD132" s="8"/>
      <c r="AE132" s="8"/>
      <c r="AF132" s="8"/>
    </row>
    <row r="133" spans="1:32" ht="15" x14ac:dyDescent="0.3">
      <c r="A133" s="6">
        <v>132</v>
      </c>
      <c r="B133" s="6">
        <f t="shared" ca="1" si="81"/>
        <v>3.2219495433484706</v>
      </c>
      <c r="C133" s="9">
        <f t="shared" ca="1" si="82"/>
        <v>400.51248836314318</v>
      </c>
      <c r="D133" s="6">
        <f t="shared" ca="1" si="74"/>
        <v>0.85279994470478793</v>
      </c>
      <c r="E133" s="6" t="str">
        <f ca="1">LOOKUP(RAND(),{0,0.4,0.7,0.9},{"DEPOSIT","WITHDRAWAL","INQUIRY","LOAN"})</f>
        <v>LOAN</v>
      </c>
      <c r="F133" s="6" t="str">
        <f t="shared" ca="1" si="83"/>
        <v>t4</v>
      </c>
      <c r="G133" s="6">
        <f t="shared" ca="1" si="75"/>
        <v>1.9107634849219255</v>
      </c>
      <c r="H133" s="6">
        <f t="shared" ca="1" si="84"/>
        <v>404.79348223575602</v>
      </c>
      <c r="I133" s="6">
        <f t="shared" ca="1" si="85"/>
        <v>405.01989541817147</v>
      </c>
      <c r="J133" s="6">
        <f t="shared" ca="1" si="86"/>
        <v>404.4806105571252</v>
      </c>
      <c r="K133" s="9">
        <f t="shared" ca="1" si="87"/>
        <v>404.15353131280227</v>
      </c>
      <c r="L133" s="9">
        <f t="shared" ca="1" si="88"/>
        <v>402.24276782788036</v>
      </c>
      <c r="M133" s="6">
        <f t="shared" ca="1" si="76"/>
        <v>404.15353131280227</v>
      </c>
      <c r="N133" s="6">
        <f t="shared" ca="1" si="89"/>
        <v>3.9681221939820261</v>
      </c>
      <c r="O133" s="6">
        <f t="shared" ca="1" si="90"/>
        <v>1</v>
      </c>
      <c r="P133" s="6">
        <f ca="1">COUNTIFS($C$2:C132,"&lt;="&amp;C133,$M$2:M132,"&gt;"&amp;C133)</f>
        <v>5</v>
      </c>
      <c r="Q133" s="9">
        <f t="shared" ca="1" si="77"/>
        <v>0</v>
      </c>
      <c r="R133" s="9">
        <f t="shared" ca="1" si="78"/>
        <v>0</v>
      </c>
      <c r="S133" s="9">
        <f t="shared" ca="1" si="79"/>
        <v>0</v>
      </c>
      <c r="T133" s="6">
        <f t="shared" ca="1" si="80"/>
        <v>0</v>
      </c>
      <c r="U133" s="6">
        <f t="shared" ca="1" si="91"/>
        <v>0</v>
      </c>
      <c r="V133" s="8">
        <f t="shared" ca="1" si="92"/>
        <v>0</v>
      </c>
      <c r="W133" s="8">
        <f t="shared" ca="1" si="93"/>
        <v>0</v>
      </c>
      <c r="X133" s="8">
        <f t="shared" ca="1" si="94"/>
        <v>1.9107634849219255</v>
      </c>
      <c r="Y133" s="8"/>
      <c r="Z133" s="8"/>
      <c r="AA133" s="8"/>
      <c r="AB133" s="8"/>
      <c r="AC133" s="8"/>
      <c r="AD133" s="8"/>
      <c r="AE133" s="8"/>
      <c r="AF133" s="8"/>
    </row>
    <row r="134" spans="1:32" ht="15" x14ac:dyDescent="0.3">
      <c r="A134" s="6">
        <v>133</v>
      </c>
      <c r="B134" s="6">
        <f t="shared" ca="1" si="81"/>
        <v>0.62277352283640364</v>
      </c>
      <c r="C134" s="9">
        <f t="shared" ca="1" si="82"/>
        <v>401.13526188597956</v>
      </c>
      <c r="D134" s="6">
        <f t="shared" ca="1" si="74"/>
        <v>0.13186346632936252</v>
      </c>
      <c r="E134" s="6" t="str">
        <f ca="1">LOOKUP(RAND(),{0,0.4,0.7,0.9},{"DEPOSIT","WITHDRAWAL","INQUIRY","LOAN"})</f>
        <v>WITHDRAWAL</v>
      </c>
      <c r="F134" s="6" t="str">
        <f t="shared" ca="1" si="83"/>
        <v>t4</v>
      </c>
      <c r="G134" s="6">
        <f t="shared" ca="1" si="75"/>
        <v>12.155929426142496</v>
      </c>
      <c r="H134" s="6">
        <f t="shared" ca="1" si="84"/>
        <v>404.79348223575602</v>
      </c>
      <c r="I134" s="6">
        <f t="shared" ca="1" si="85"/>
        <v>405.01989541817147</v>
      </c>
      <c r="J134" s="6">
        <f t="shared" ca="1" si="86"/>
        <v>404.4806105571252</v>
      </c>
      <c r="K134" s="9">
        <f t="shared" ca="1" si="87"/>
        <v>416.30946073894478</v>
      </c>
      <c r="L134" s="9">
        <f t="shared" ca="1" si="88"/>
        <v>404.15353131280227</v>
      </c>
      <c r="M134" s="6">
        <f t="shared" ca="1" si="76"/>
        <v>416.30946073894478</v>
      </c>
      <c r="N134" s="6">
        <f t="shared" ca="1" si="89"/>
        <v>3.3453486711456435</v>
      </c>
      <c r="O134" s="6">
        <f t="shared" ca="1" si="90"/>
        <v>1</v>
      </c>
      <c r="P134" s="6">
        <f ca="1">COUNTIFS($C$2:C133,"&lt;="&amp;C134,$M$2:M133,"&gt;"&amp;C134)</f>
        <v>6</v>
      </c>
      <c r="Q134" s="9">
        <f t="shared" ca="1" si="77"/>
        <v>0</v>
      </c>
      <c r="R134" s="9">
        <f t="shared" ca="1" si="78"/>
        <v>0</v>
      </c>
      <c r="S134" s="9">
        <f t="shared" ca="1" si="79"/>
        <v>0</v>
      </c>
      <c r="T134" s="6">
        <f t="shared" ca="1" si="80"/>
        <v>0</v>
      </c>
      <c r="U134" s="6">
        <f t="shared" ca="1" si="91"/>
        <v>0</v>
      </c>
      <c r="V134" s="8">
        <f t="shared" ca="1" si="92"/>
        <v>0</v>
      </c>
      <c r="W134" s="8">
        <f t="shared" ca="1" si="93"/>
        <v>0</v>
      </c>
      <c r="X134" s="8">
        <f t="shared" ca="1" si="94"/>
        <v>12.155929426142496</v>
      </c>
      <c r="Y134" s="8"/>
      <c r="Z134" s="8"/>
      <c r="AA134" s="8"/>
      <c r="AB134" s="8"/>
      <c r="AC134" s="8"/>
      <c r="AD134" s="8"/>
      <c r="AE134" s="8"/>
      <c r="AF134" s="8"/>
    </row>
    <row r="135" spans="1:32" ht="15" x14ac:dyDescent="0.3">
      <c r="A135" s="6">
        <v>134</v>
      </c>
      <c r="B135" s="6">
        <f t="shared" ca="1" si="81"/>
        <v>0.33815118187857474</v>
      </c>
      <c r="C135" s="9">
        <f t="shared" ca="1" si="82"/>
        <v>401.47341306785813</v>
      </c>
      <c r="D135" s="6">
        <f t="shared" ca="1" si="74"/>
        <v>0.10884068482755072</v>
      </c>
      <c r="E135" s="6" t="str">
        <f ca="1">LOOKUP(RAND(),{0,0.4,0.7,0.9},{"DEPOSIT","WITHDRAWAL","INQUIRY","LOAN"})</f>
        <v>DEPOSIT</v>
      </c>
      <c r="F135" s="6" t="str">
        <f t="shared" ca="1" si="83"/>
        <v>t3</v>
      </c>
      <c r="G135" s="6">
        <f t="shared" ca="1" si="75"/>
        <v>11.089350365146363</v>
      </c>
      <c r="H135" s="6">
        <f t="shared" ca="1" si="84"/>
        <v>404.79348223575602</v>
      </c>
      <c r="I135" s="6">
        <f t="shared" ca="1" si="85"/>
        <v>405.01989541817147</v>
      </c>
      <c r="J135" s="6">
        <f t="shared" ca="1" si="86"/>
        <v>415.56996092227155</v>
      </c>
      <c r="K135" s="9">
        <f t="shared" ca="1" si="87"/>
        <v>416.30946073894478</v>
      </c>
      <c r="L135" s="9">
        <f t="shared" ca="1" si="88"/>
        <v>404.4806105571252</v>
      </c>
      <c r="M135" s="6">
        <f t="shared" ca="1" si="76"/>
        <v>415.56996092227155</v>
      </c>
      <c r="N135" s="6">
        <f t="shared" ca="1" si="89"/>
        <v>3.007197489267071</v>
      </c>
      <c r="O135" s="6">
        <f t="shared" ca="1" si="90"/>
        <v>1</v>
      </c>
      <c r="P135" s="6">
        <f ca="1">COUNTIFS($C$2:C134,"&lt;="&amp;C135,$M$2:M134,"&gt;"&amp;C135)</f>
        <v>7</v>
      </c>
      <c r="Q135" s="9">
        <f t="shared" ca="1" si="77"/>
        <v>0</v>
      </c>
      <c r="R135" s="9">
        <f t="shared" ca="1" si="78"/>
        <v>0</v>
      </c>
      <c r="S135" s="9">
        <f t="shared" ca="1" si="79"/>
        <v>0</v>
      </c>
      <c r="T135" s="6">
        <f t="shared" ca="1" si="80"/>
        <v>0</v>
      </c>
      <c r="U135" s="6">
        <f t="shared" ca="1" si="91"/>
        <v>0</v>
      </c>
      <c r="V135" s="8">
        <f t="shared" ca="1" si="92"/>
        <v>0</v>
      </c>
      <c r="W135" s="8">
        <f t="shared" ca="1" si="93"/>
        <v>11.089350365146363</v>
      </c>
      <c r="X135" s="8">
        <f t="shared" ca="1" si="94"/>
        <v>0</v>
      </c>
      <c r="Y135" s="8"/>
      <c r="Z135" s="8"/>
      <c r="AA135" s="8"/>
      <c r="AB135" s="8"/>
      <c r="AC135" s="8"/>
      <c r="AD135" s="8"/>
      <c r="AE135" s="8"/>
      <c r="AF135" s="8"/>
    </row>
    <row r="136" spans="1:32" ht="15" x14ac:dyDescent="0.3">
      <c r="A136" s="6">
        <v>135</v>
      </c>
      <c r="B136" s="6">
        <f t="shared" ca="1" si="81"/>
        <v>0.7330693730307688</v>
      </c>
      <c r="C136" s="9">
        <f t="shared" ca="1" si="82"/>
        <v>402.20648244088892</v>
      </c>
      <c r="D136" s="6">
        <f t="shared" ca="1" si="74"/>
        <v>0.2990954396437433</v>
      </c>
      <c r="E136" s="6" t="str">
        <f ca="1">LOOKUP(RAND(),{0,0.4,0.7,0.9},{"DEPOSIT","WITHDRAWAL","INQUIRY","LOAN"})</f>
        <v>LOAN</v>
      </c>
      <c r="F136" s="6" t="str">
        <f t="shared" ca="1" si="83"/>
        <v>t1</v>
      </c>
      <c r="G136" s="6">
        <f t="shared" ca="1" si="75"/>
        <v>14.483910724689331</v>
      </c>
      <c r="H136" s="6">
        <f t="shared" ca="1" si="84"/>
        <v>419.27739296044535</v>
      </c>
      <c r="I136" s="6">
        <f t="shared" ca="1" si="85"/>
        <v>405.01989541817147</v>
      </c>
      <c r="J136" s="6">
        <f t="shared" ca="1" si="86"/>
        <v>415.56996092227155</v>
      </c>
      <c r="K136" s="9">
        <f t="shared" ca="1" si="87"/>
        <v>416.30946073894478</v>
      </c>
      <c r="L136" s="9">
        <f t="shared" ca="1" si="88"/>
        <v>404.79348223575602</v>
      </c>
      <c r="M136" s="6">
        <f t="shared" ca="1" si="76"/>
        <v>419.27739296044535</v>
      </c>
      <c r="N136" s="6">
        <f t="shared" ca="1" si="89"/>
        <v>2.5869997948670971</v>
      </c>
      <c r="O136" s="6">
        <f t="shared" ca="1" si="90"/>
        <v>1</v>
      </c>
      <c r="P136" s="6">
        <f ca="1">COUNTIFS($C$2:C135,"&lt;="&amp;C136,$M$2:M135,"&gt;"&amp;C136)</f>
        <v>7</v>
      </c>
      <c r="Q136" s="9">
        <f t="shared" ca="1" si="77"/>
        <v>0</v>
      </c>
      <c r="R136" s="9">
        <f t="shared" ca="1" si="78"/>
        <v>0</v>
      </c>
      <c r="S136" s="9">
        <f t="shared" ca="1" si="79"/>
        <v>0</v>
      </c>
      <c r="T136" s="6">
        <f t="shared" ca="1" si="80"/>
        <v>0</v>
      </c>
      <c r="U136" s="6">
        <f t="shared" ca="1" si="91"/>
        <v>14.483910724689331</v>
      </c>
      <c r="V136" s="8">
        <f t="shared" ca="1" si="92"/>
        <v>0</v>
      </c>
      <c r="W136" s="8">
        <f t="shared" ca="1" si="93"/>
        <v>0</v>
      </c>
      <c r="X136" s="8">
        <f t="shared" ca="1" si="94"/>
        <v>0</v>
      </c>
      <c r="Y136" s="8"/>
      <c r="Z136" s="8"/>
      <c r="AA136" s="8"/>
      <c r="AB136" s="8"/>
      <c r="AC136" s="8"/>
      <c r="AD136" s="8"/>
      <c r="AE136" s="8"/>
      <c r="AF136" s="8"/>
    </row>
    <row r="137" spans="1:32" ht="15" x14ac:dyDescent="0.3">
      <c r="A137" s="6">
        <v>136</v>
      </c>
      <c r="B137" s="6">
        <f t="shared" ca="1" si="81"/>
        <v>4.3314650777635659</v>
      </c>
      <c r="C137" s="9">
        <f t="shared" ca="1" si="82"/>
        <v>406.53794751865246</v>
      </c>
      <c r="D137" s="6">
        <f t="shared" ca="1" si="74"/>
        <v>0.16723196982717514</v>
      </c>
      <c r="E137" s="6" t="str">
        <f ca="1">LOOKUP(RAND(),{0,0.4,0.7,0.9},{"DEPOSIT","WITHDRAWAL","INQUIRY","LOAN"})</f>
        <v>WITHDRAWAL</v>
      </c>
      <c r="F137" s="6" t="str">
        <f t="shared" ca="1" si="83"/>
        <v>t2</v>
      </c>
      <c r="G137" s="6">
        <f t="shared" ca="1" si="75"/>
        <v>10.730240337053722</v>
      </c>
      <c r="H137" s="6">
        <f t="shared" ca="1" si="84"/>
        <v>419.27739296044535</v>
      </c>
      <c r="I137" s="6">
        <f t="shared" ca="1" si="85"/>
        <v>417.26818785570617</v>
      </c>
      <c r="J137" s="6">
        <f t="shared" ca="1" si="86"/>
        <v>415.56996092227155</v>
      </c>
      <c r="K137" s="9">
        <f t="shared" ca="1" si="87"/>
        <v>416.30946073894478</v>
      </c>
      <c r="L137" s="9">
        <f t="shared" ca="1" si="88"/>
        <v>406.53794751865246</v>
      </c>
      <c r="M137" s="6">
        <f t="shared" ca="1" si="76"/>
        <v>417.26818785570617</v>
      </c>
      <c r="N137" s="6">
        <f t="shared" ca="1" si="89"/>
        <v>0</v>
      </c>
      <c r="O137" s="6">
        <f t="shared" ca="1" si="90"/>
        <v>0</v>
      </c>
      <c r="P137" s="6">
        <f ca="1">COUNTIFS($C$2:C136,"&lt;="&amp;C137,$M$2:M136,"&gt;"&amp;C137)</f>
        <v>3</v>
      </c>
      <c r="Q137" s="9">
        <f t="shared" ca="1" si="77"/>
        <v>0</v>
      </c>
      <c r="R137" s="9">
        <f t="shared" ca="1" si="78"/>
        <v>0</v>
      </c>
      <c r="S137" s="9">
        <f t="shared" ca="1" si="79"/>
        <v>0</v>
      </c>
      <c r="T137" s="6">
        <f t="shared" ca="1" si="80"/>
        <v>0</v>
      </c>
      <c r="U137" s="6">
        <f t="shared" ca="1" si="91"/>
        <v>0</v>
      </c>
      <c r="V137" s="8">
        <f t="shared" ca="1" si="92"/>
        <v>10.730240337053722</v>
      </c>
      <c r="W137" s="8">
        <f t="shared" ca="1" si="93"/>
        <v>0</v>
      </c>
      <c r="X137" s="8">
        <f t="shared" ca="1" si="94"/>
        <v>0</v>
      </c>
      <c r="Y137" s="8"/>
      <c r="Z137" s="8"/>
      <c r="AA137" s="8"/>
      <c r="AB137" s="8"/>
      <c r="AC137" s="8"/>
      <c r="AD137" s="8"/>
      <c r="AE137" s="8"/>
      <c r="AF137" s="8"/>
    </row>
    <row r="138" spans="1:32" ht="15" x14ac:dyDescent="0.3">
      <c r="A138" s="6">
        <v>137</v>
      </c>
      <c r="B138" s="6">
        <f t="shared" ca="1" si="81"/>
        <v>1.4409546090888843</v>
      </c>
      <c r="C138" s="9">
        <f t="shared" ca="1" si="82"/>
        <v>407.97890212774132</v>
      </c>
      <c r="D138" s="6">
        <f t="shared" ca="1" si="74"/>
        <v>0.5587454195874989</v>
      </c>
      <c r="E138" s="6" t="str">
        <f ca="1">LOOKUP(RAND(),{0,0.4,0.7,0.9},{"DEPOSIT","WITHDRAWAL","INQUIRY","LOAN"})</f>
        <v>DEPOSIT</v>
      </c>
      <c r="F138" s="6" t="str">
        <f t="shared" ca="1" si="83"/>
        <v>t3</v>
      </c>
      <c r="G138" s="6">
        <f t="shared" ca="1" si="75"/>
        <v>2.9103066534711246</v>
      </c>
      <c r="H138" s="6">
        <f t="shared" ca="1" si="84"/>
        <v>419.27739296044535</v>
      </c>
      <c r="I138" s="6">
        <f t="shared" ca="1" si="85"/>
        <v>417.26818785570617</v>
      </c>
      <c r="J138" s="6">
        <f t="shared" ca="1" si="86"/>
        <v>418.48026757574269</v>
      </c>
      <c r="K138" s="9">
        <f t="shared" ca="1" si="87"/>
        <v>416.30946073894478</v>
      </c>
      <c r="L138" s="9">
        <f t="shared" ca="1" si="88"/>
        <v>415.56996092227155</v>
      </c>
      <c r="M138" s="6">
        <f t="shared" ca="1" si="76"/>
        <v>418.48026757574269</v>
      </c>
      <c r="N138" s="6">
        <f t="shared" ca="1" si="89"/>
        <v>7.5910587945302268</v>
      </c>
      <c r="O138" s="6">
        <f t="shared" ca="1" si="90"/>
        <v>1</v>
      </c>
      <c r="P138" s="6">
        <f ca="1">COUNTIFS($C$2:C137,"&lt;="&amp;C138,$M$2:M137,"&gt;"&amp;C138)</f>
        <v>4</v>
      </c>
      <c r="Q138" s="9">
        <f t="shared" ca="1" si="77"/>
        <v>0</v>
      </c>
      <c r="R138" s="9">
        <f t="shared" ca="1" si="78"/>
        <v>0</v>
      </c>
      <c r="S138" s="9">
        <f t="shared" ca="1" si="79"/>
        <v>0</v>
      </c>
      <c r="T138" s="6">
        <f t="shared" ca="1" si="80"/>
        <v>0</v>
      </c>
      <c r="U138" s="6">
        <f t="shared" ca="1" si="91"/>
        <v>0</v>
      </c>
      <c r="V138" s="8">
        <f t="shared" ca="1" si="92"/>
        <v>0</v>
      </c>
      <c r="W138" s="8">
        <f t="shared" ca="1" si="93"/>
        <v>2.9103066534711246</v>
      </c>
      <c r="X138" s="8">
        <f t="shared" ca="1" si="94"/>
        <v>0</v>
      </c>
      <c r="Y138" s="8"/>
      <c r="Z138" s="8"/>
      <c r="AA138" s="8"/>
      <c r="AB138" s="8"/>
      <c r="AC138" s="8"/>
      <c r="AD138" s="8"/>
      <c r="AE138" s="8"/>
      <c r="AF138" s="8"/>
    </row>
    <row r="139" spans="1:32" ht="15" x14ac:dyDescent="0.3">
      <c r="A139" s="6">
        <v>138</v>
      </c>
      <c r="B139" s="6">
        <f t="shared" ca="1" si="81"/>
        <v>0.48205307129376745</v>
      </c>
      <c r="C139" s="9">
        <f t="shared" ca="1" si="82"/>
        <v>408.46095519903508</v>
      </c>
      <c r="D139" s="6">
        <f t="shared" ca="1" si="74"/>
        <v>0.38658703151861418</v>
      </c>
      <c r="E139" s="6" t="str">
        <f ca="1">LOOKUP(RAND(),{0,0.4,0.7,0.9},{"DEPOSIT","WITHDRAWAL","INQUIRY","LOAN"})</f>
        <v>DEPOSIT</v>
      </c>
      <c r="F139" s="6" t="str">
        <f t="shared" ca="1" si="83"/>
        <v>t4</v>
      </c>
      <c r="G139" s="6">
        <f t="shared" ca="1" si="75"/>
        <v>4.7519912886508138</v>
      </c>
      <c r="H139" s="6">
        <f t="shared" ca="1" si="84"/>
        <v>419.27739296044535</v>
      </c>
      <c r="I139" s="6">
        <f t="shared" ca="1" si="85"/>
        <v>417.26818785570617</v>
      </c>
      <c r="J139" s="6">
        <f t="shared" ca="1" si="86"/>
        <v>418.48026757574269</v>
      </c>
      <c r="K139" s="9">
        <f t="shared" ca="1" si="87"/>
        <v>421.06145202759558</v>
      </c>
      <c r="L139" s="9">
        <f t="shared" ca="1" si="88"/>
        <v>416.30946073894478</v>
      </c>
      <c r="M139" s="6">
        <f t="shared" ca="1" si="76"/>
        <v>421.06145202759558</v>
      </c>
      <c r="N139" s="6">
        <f t="shared" ca="1" si="89"/>
        <v>8.8072326566710899</v>
      </c>
      <c r="O139" s="6">
        <f t="shared" ca="1" si="90"/>
        <v>1</v>
      </c>
      <c r="P139" s="6">
        <f ca="1">COUNTIFS($C$2:C138,"&lt;="&amp;C139,$M$2:M138,"&gt;"&amp;C139)</f>
        <v>5</v>
      </c>
      <c r="Q139" s="9">
        <f t="shared" ca="1" si="77"/>
        <v>0</v>
      </c>
      <c r="R139" s="9">
        <f t="shared" ca="1" si="78"/>
        <v>0</v>
      </c>
      <c r="S139" s="9">
        <f t="shared" ca="1" si="79"/>
        <v>0</v>
      </c>
      <c r="T139" s="6">
        <f t="shared" ca="1" si="80"/>
        <v>0</v>
      </c>
      <c r="U139" s="6">
        <f t="shared" ca="1" si="91"/>
        <v>0</v>
      </c>
      <c r="V139" s="8">
        <f t="shared" ca="1" si="92"/>
        <v>0</v>
      </c>
      <c r="W139" s="8">
        <f t="shared" ca="1" si="93"/>
        <v>0</v>
      </c>
      <c r="X139" s="8">
        <f t="shared" ca="1" si="94"/>
        <v>4.7519912886508138</v>
      </c>
      <c r="Y139" s="8"/>
      <c r="Z139" s="8"/>
      <c r="AA139" s="8"/>
      <c r="AB139" s="8"/>
      <c r="AC139" s="8"/>
      <c r="AD139" s="8"/>
      <c r="AE139" s="8"/>
      <c r="AF139" s="8"/>
    </row>
    <row r="140" spans="1:32" ht="15" x14ac:dyDescent="0.3">
      <c r="A140" s="6">
        <v>139</v>
      </c>
      <c r="B140" s="6">
        <f t="shared" ca="1" si="81"/>
        <v>1.9074780882377882</v>
      </c>
      <c r="C140" s="9">
        <f t="shared" ca="1" si="82"/>
        <v>410.36843328727286</v>
      </c>
      <c r="D140" s="6">
        <f t="shared" ca="1" si="74"/>
        <v>0.39962835579597633</v>
      </c>
      <c r="E140" s="6" t="str">
        <f ca="1">LOOKUP(RAND(),{0,0.4,0.7,0.9},{"DEPOSIT","WITHDRAWAL","INQUIRY","LOAN"})</f>
        <v>INQUIRY</v>
      </c>
      <c r="F140" s="6" t="str">
        <f t="shared" ca="1" si="83"/>
        <v>t2</v>
      </c>
      <c r="G140" s="6">
        <f t="shared" ca="1" si="75"/>
        <v>3.6688810970996841</v>
      </c>
      <c r="H140" s="6">
        <f t="shared" ca="1" si="84"/>
        <v>419.27739296044535</v>
      </c>
      <c r="I140" s="6">
        <f t="shared" ca="1" si="85"/>
        <v>420.93706895280587</v>
      </c>
      <c r="J140" s="6">
        <f t="shared" ca="1" si="86"/>
        <v>418.48026757574269</v>
      </c>
      <c r="K140" s="9">
        <f t="shared" ca="1" si="87"/>
        <v>421.06145202759558</v>
      </c>
      <c r="L140" s="9">
        <f t="shared" ca="1" si="88"/>
        <v>417.26818785570617</v>
      </c>
      <c r="M140" s="6">
        <f t="shared" ca="1" si="76"/>
        <v>420.93706895280587</v>
      </c>
      <c r="N140" s="6">
        <f t="shared" ca="1" si="89"/>
        <v>6.899754568433309</v>
      </c>
      <c r="O140" s="6">
        <f t="shared" ca="1" si="90"/>
        <v>1</v>
      </c>
      <c r="P140" s="6">
        <f ca="1">COUNTIFS($C$2:C139,"&lt;="&amp;C140,$M$2:M139,"&gt;"&amp;C140)</f>
        <v>6</v>
      </c>
      <c r="Q140" s="9">
        <f t="shared" ca="1" si="77"/>
        <v>0</v>
      </c>
      <c r="R140" s="9">
        <f t="shared" ca="1" si="78"/>
        <v>0</v>
      </c>
      <c r="S140" s="9">
        <f t="shared" ca="1" si="79"/>
        <v>0</v>
      </c>
      <c r="T140" s="6">
        <f t="shared" ca="1" si="80"/>
        <v>0</v>
      </c>
      <c r="U140" s="6">
        <f t="shared" ca="1" si="91"/>
        <v>0</v>
      </c>
      <c r="V140" s="8">
        <f t="shared" ca="1" si="92"/>
        <v>3.6688810970996841</v>
      </c>
      <c r="W140" s="8">
        <f t="shared" ca="1" si="93"/>
        <v>0</v>
      </c>
      <c r="X140" s="8">
        <f t="shared" ca="1" si="94"/>
        <v>0</v>
      </c>
      <c r="Y140" s="8"/>
      <c r="Z140" s="8"/>
      <c r="AA140" s="8"/>
      <c r="AB140" s="8"/>
      <c r="AC140" s="8"/>
      <c r="AD140" s="8"/>
      <c r="AE140" s="8"/>
      <c r="AF140" s="8"/>
    </row>
    <row r="141" spans="1:32" ht="15" x14ac:dyDescent="0.3">
      <c r="A141" s="6">
        <v>140</v>
      </c>
      <c r="B141" s="6">
        <f t="shared" ca="1" si="81"/>
        <v>6.3336948253538781</v>
      </c>
      <c r="C141" s="9">
        <f t="shared" ca="1" si="82"/>
        <v>416.70212811262672</v>
      </c>
      <c r="D141" s="6">
        <f t="shared" ca="1" si="74"/>
        <v>0.63696885463530195</v>
      </c>
      <c r="E141" s="6" t="str">
        <f ca="1">LOOKUP(RAND(),{0,0.4,0.7,0.9},{"DEPOSIT","WITHDRAWAL","INQUIRY","LOAN"})</f>
        <v>DEPOSIT</v>
      </c>
      <c r="F141" s="6" t="str">
        <f t="shared" ca="1" si="83"/>
        <v>t3</v>
      </c>
      <c r="G141" s="6">
        <f t="shared" ca="1" si="75"/>
        <v>2.2551725921372374</v>
      </c>
      <c r="H141" s="6">
        <f t="shared" ca="1" si="84"/>
        <v>419.27739296044535</v>
      </c>
      <c r="I141" s="6">
        <f t="shared" ca="1" si="85"/>
        <v>420.93706895280587</v>
      </c>
      <c r="J141" s="6">
        <f t="shared" ca="1" si="86"/>
        <v>420.73544016787991</v>
      </c>
      <c r="K141" s="9">
        <f t="shared" ca="1" si="87"/>
        <v>421.06145202759558</v>
      </c>
      <c r="L141" s="9">
        <f t="shared" ca="1" si="88"/>
        <v>418.48026757574269</v>
      </c>
      <c r="M141" s="6">
        <f t="shared" ca="1" si="76"/>
        <v>420.73544016787991</v>
      </c>
      <c r="N141" s="6">
        <f t="shared" ca="1" si="89"/>
        <v>1.7781394631159628</v>
      </c>
      <c r="O141" s="6">
        <f t="shared" ca="1" si="90"/>
        <v>1</v>
      </c>
      <c r="P141" s="6">
        <f ca="1">COUNTIFS($C$2:C140,"&lt;="&amp;C141,$M$2:M140,"&gt;"&amp;C141)</f>
        <v>5</v>
      </c>
      <c r="Q141" s="9">
        <f t="shared" ca="1" si="77"/>
        <v>0</v>
      </c>
      <c r="R141" s="9">
        <f t="shared" ca="1" si="78"/>
        <v>0</v>
      </c>
      <c r="S141" s="9">
        <f t="shared" ca="1" si="79"/>
        <v>0</v>
      </c>
      <c r="T141" s="6">
        <f t="shared" ca="1" si="80"/>
        <v>0</v>
      </c>
      <c r="U141" s="6">
        <f t="shared" ca="1" si="91"/>
        <v>0</v>
      </c>
      <c r="V141" s="8">
        <f t="shared" ca="1" si="92"/>
        <v>0</v>
      </c>
      <c r="W141" s="8">
        <f t="shared" ca="1" si="93"/>
        <v>2.2551725921372374</v>
      </c>
      <c r="X141" s="8">
        <f t="shared" ca="1" si="94"/>
        <v>0</v>
      </c>
      <c r="Y141" s="8"/>
      <c r="Z141" s="8"/>
      <c r="AA141" s="8"/>
      <c r="AB141" s="8"/>
      <c r="AC141" s="8"/>
      <c r="AD141" s="8"/>
      <c r="AE141" s="8"/>
      <c r="AF141" s="8"/>
    </row>
    <row r="142" spans="1:32" ht="15" x14ac:dyDescent="0.3">
      <c r="A142" s="6">
        <v>141</v>
      </c>
      <c r="B142" s="6">
        <f t="shared" ca="1" si="81"/>
        <v>1.5422067408914355</v>
      </c>
      <c r="C142" s="9">
        <f t="shared" ca="1" si="82"/>
        <v>418.24433485351818</v>
      </c>
      <c r="D142" s="6">
        <f t="shared" ca="1" si="74"/>
        <v>0.8874504979733423</v>
      </c>
      <c r="E142" s="6" t="str">
        <f ca="1">LOOKUP(RAND(),{0,0.4,0.7,0.9},{"DEPOSIT","WITHDRAWAL","INQUIRY","LOAN"})</f>
        <v>DEPOSIT</v>
      </c>
      <c r="F142" s="6" t="str">
        <f t="shared" ca="1" si="83"/>
        <v>t1</v>
      </c>
      <c r="G142" s="6">
        <f t="shared" ca="1" si="75"/>
        <v>1</v>
      </c>
      <c r="H142" s="6">
        <f t="shared" ca="1" si="84"/>
        <v>420.27739296044535</v>
      </c>
      <c r="I142" s="6">
        <f t="shared" ca="1" si="85"/>
        <v>420.93706895280587</v>
      </c>
      <c r="J142" s="6">
        <f t="shared" ca="1" si="86"/>
        <v>420.73544016787991</v>
      </c>
      <c r="K142" s="9">
        <f t="shared" ca="1" si="87"/>
        <v>421.06145202759558</v>
      </c>
      <c r="L142" s="9">
        <f t="shared" ca="1" si="88"/>
        <v>419.27739296044535</v>
      </c>
      <c r="M142" s="6">
        <f t="shared" ca="1" si="76"/>
        <v>420.27739296044535</v>
      </c>
      <c r="N142" s="6">
        <f t="shared" ca="1" si="89"/>
        <v>1.0330581069271716</v>
      </c>
      <c r="O142" s="6">
        <f t="shared" ca="1" si="90"/>
        <v>1</v>
      </c>
      <c r="P142" s="6">
        <f ca="1">COUNTIFS($C$2:C141,"&lt;="&amp;C142,$M$2:M141,"&gt;"&amp;C142)</f>
        <v>5</v>
      </c>
      <c r="Q142" s="9">
        <f t="shared" ca="1" si="77"/>
        <v>0</v>
      </c>
      <c r="R142" s="9">
        <f t="shared" ca="1" si="78"/>
        <v>0</v>
      </c>
      <c r="S142" s="9">
        <f t="shared" ca="1" si="79"/>
        <v>0</v>
      </c>
      <c r="T142" s="6">
        <f t="shared" ca="1" si="80"/>
        <v>0</v>
      </c>
      <c r="U142" s="6">
        <f t="shared" ca="1" si="91"/>
        <v>1</v>
      </c>
      <c r="V142" s="8">
        <f t="shared" ca="1" si="92"/>
        <v>0</v>
      </c>
      <c r="W142" s="8">
        <f t="shared" ca="1" si="93"/>
        <v>0</v>
      </c>
      <c r="X142" s="8">
        <f t="shared" ca="1" si="94"/>
        <v>0</v>
      </c>
      <c r="Y142" s="8"/>
      <c r="Z142" s="8"/>
      <c r="AA142" s="8"/>
      <c r="AB142" s="8"/>
      <c r="AC142" s="8"/>
      <c r="AD142" s="8"/>
      <c r="AE142" s="8"/>
      <c r="AF142" s="8"/>
    </row>
    <row r="143" spans="1:32" ht="15" x14ac:dyDescent="0.3">
      <c r="A143" s="6">
        <v>142</v>
      </c>
      <c r="B143" s="6">
        <f t="shared" ca="1" si="81"/>
        <v>5.1803400536810669</v>
      </c>
      <c r="C143" s="9">
        <f t="shared" ca="1" si="82"/>
        <v>423.42467490719923</v>
      </c>
      <c r="D143" s="6">
        <f t="shared" ca="1" si="74"/>
        <v>0.59693094263621282</v>
      </c>
      <c r="E143" s="6" t="str">
        <f ca="1">LOOKUP(RAND(),{0,0.4,0.7,0.9},{"DEPOSIT","WITHDRAWAL","INQUIRY","LOAN"})</f>
        <v>DEPOSIT</v>
      </c>
      <c r="F143" s="6" t="str">
        <f t="shared" ca="1" si="83"/>
        <v>t1</v>
      </c>
      <c r="G143" s="6">
        <f t="shared" ca="1" si="75"/>
        <v>2.5797692312823912</v>
      </c>
      <c r="H143" s="6">
        <f t="shared" ca="1" si="84"/>
        <v>426.00444413848163</v>
      </c>
      <c r="I143" s="6">
        <f t="shared" ca="1" si="85"/>
        <v>420.93706895280587</v>
      </c>
      <c r="J143" s="6">
        <f t="shared" ca="1" si="86"/>
        <v>420.73544016787991</v>
      </c>
      <c r="K143" s="9">
        <f t="shared" ca="1" si="87"/>
        <v>421.06145202759558</v>
      </c>
      <c r="L143" s="9">
        <f t="shared" ca="1" si="88"/>
        <v>423.42467490719923</v>
      </c>
      <c r="M143" s="6">
        <f t="shared" ca="1" si="76"/>
        <v>426.00444413848163</v>
      </c>
      <c r="N143" s="6">
        <f t="shared" ca="1" si="89"/>
        <v>0</v>
      </c>
      <c r="O143" s="6">
        <f t="shared" ca="1" si="90"/>
        <v>0</v>
      </c>
      <c r="P143" s="6">
        <f ca="1">COUNTIFS($C$2:C142,"&lt;="&amp;C143,$M$2:M142,"&gt;"&amp;C143)</f>
        <v>0</v>
      </c>
      <c r="Q143" s="9">
        <f t="shared" ca="1" si="77"/>
        <v>0</v>
      </c>
      <c r="R143" s="9">
        <f t="shared" ca="1" si="78"/>
        <v>2.4876059543933593</v>
      </c>
      <c r="S143" s="9">
        <f t="shared" ca="1" si="79"/>
        <v>2.6892347393193177</v>
      </c>
      <c r="T143" s="6">
        <f t="shared" ca="1" si="80"/>
        <v>2.3632228796036543</v>
      </c>
      <c r="U143" s="6">
        <f t="shared" ca="1" si="91"/>
        <v>2.5797692312823912</v>
      </c>
      <c r="V143" s="8">
        <f t="shared" ca="1" si="92"/>
        <v>0</v>
      </c>
      <c r="W143" s="8">
        <f t="shared" ca="1" si="93"/>
        <v>0</v>
      </c>
      <c r="X143" s="8">
        <f t="shared" ca="1" si="94"/>
        <v>0</v>
      </c>
      <c r="Y143" s="8"/>
      <c r="Z143" s="8"/>
      <c r="AA143" s="8"/>
      <c r="AB143" s="8"/>
      <c r="AC143" s="8"/>
      <c r="AD143" s="8"/>
      <c r="AE143" s="8"/>
      <c r="AF143" s="8"/>
    </row>
    <row r="144" spans="1:32" ht="15" x14ac:dyDescent="0.3">
      <c r="A144" s="6">
        <v>143</v>
      </c>
      <c r="B144" s="6">
        <f t="shared" ca="1" si="81"/>
        <v>4.7084812911440039</v>
      </c>
      <c r="C144" s="9">
        <f t="shared" ca="1" si="82"/>
        <v>428.13315619834322</v>
      </c>
      <c r="D144" s="6">
        <f t="shared" ca="1" si="74"/>
        <v>0.92566445680240172</v>
      </c>
      <c r="E144" s="6" t="str">
        <f ca="1">LOOKUP(RAND(),{0,0.4,0.7,0.9},{"DEPOSIT","WITHDRAWAL","INQUIRY","LOAN"})</f>
        <v>WITHDRAWAL</v>
      </c>
      <c r="F144" s="6" t="str">
        <f t="shared" ca="1" si="83"/>
        <v>t1</v>
      </c>
      <c r="G144" s="6">
        <f t="shared" ca="1" si="75"/>
        <v>1</v>
      </c>
      <c r="H144" s="6">
        <f t="shared" ca="1" si="84"/>
        <v>429.13315619834322</v>
      </c>
      <c r="I144" s="6">
        <f t="shared" ca="1" si="85"/>
        <v>420.93706895280587</v>
      </c>
      <c r="J144" s="6">
        <f t="shared" ca="1" si="86"/>
        <v>420.73544016787991</v>
      </c>
      <c r="K144" s="9">
        <f t="shared" ca="1" si="87"/>
        <v>421.06145202759558</v>
      </c>
      <c r="L144" s="9">
        <f t="shared" ca="1" si="88"/>
        <v>428.13315619834322</v>
      </c>
      <c r="M144" s="6">
        <f t="shared" ca="1" si="76"/>
        <v>429.13315619834322</v>
      </c>
      <c r="N144" s="6">
        <f t="shared" ca="1" si="89"/>
        <v>0</v>
      </c>
      <c r="O144" s="6">
        <f t="shared" ca="1" si="90"/>
        <v>0</v>
      </c>
      <c r="P144" s="6">
        <f ca="1">COUNTIFS($C$2:C143,"&lt;="&amp;C144,$M$2:M143,"&gt;"&amp;C144)</f>
        <v>0</v>
      </c>
      <c r="Q144" s="9">
        <f t="shared" ca="1" si="77"/>
        <v>0</v>
      </c>
      <c r="R144" s="9">
        <f t="shared" ca="1" si="78"/>
        <v>7.1960872455373419</v>
      </c>
      <c r="S144" s="9">
        <f t="shared" ca="1" si="79"/>
        <v>7.3977160304633003</v>
      </c>
      <c r="T144" s="6">
        <f t="shared" ca="1" si="80"/>
        <v>7.0717041707476369</v>
      </c>
      <c r="U144" s="6">
        <f t="shared" ca="1" si="91"/>
        <v>1</v>
      </c>
      <c r="V144" s="8">
        <f t="shared" ca="1" si="92"/>
        <v>0</v>
      </c>
      <c r="W144" s="8">
        <f t="shared" ca="1" si="93"/>
        <v>0</v>
      </c>
      <c r="X144" s="8">
        <f t="shared" ca="1" si="94"/>
        <v>0</v>
      </c>
      <c r="Y144" s="8"/>
      <c r="Z144" s="8"/>
      <c r="AA144" s="8"/>
      <c r="AB144" s="8"/>
      <c r="AC144" s="8"/>
      <c r="AD144" s="8"/>
      <c r="AE144" s="8"/>
      <c r="AF144" s="8"/>
    </row>
    <row r="145" spans="1:32" ht="15" x14ac:dyDescent="0.3">
      <c r="A145" s="6">
        <v>144</v>
      </c>
      <c r="B145" s="6">
        <f t="shared" ca="1" si="81"/>
        <v>4.3309677054527942</v>
      </c>
      <c r="C145" s="9">
        <f t="shared" ca="1" si="82"/>
        <v>432.46412390379601</v>
      </c>
      <c r="D145" s="6">
        <f t="shared" ca="1" si="74"/>
        <v>5.4612941474176835E-2</v>
      </c>
      <c r="E145" s="6" t="str">
        <f ca="1">LOOKUP(RAND(),{0,0.4,0.7,0.9},{"DEPOSIT","WITHDRAWAL","INQUIRY","LOAN"})</f>
        <v>WITHDRAWAL</v>
      </c>
      <c r="F145" s="6" t="str">
        <f t="shared" ca="1" si="83"/>
        <v>t1</v>
      </c>
      <c r="G145" s="6">
        <f t="shared" ca="1" si="75"/>
        <v>17.444906405881795</v>
      </c>
      <c r="H145" s="6">
        <f t="shared" ca="1" si="84"/>
        <v>449.9090303096778</v>
      </c>
      <c r="I145" s="6">
        <f t="shared" ca="1" si="85"/>
        <v>420.93706895280587</v>
      </c>
      <c r="J145" s="6">
        <f t="shared" ca="1" si="86"/>
        <v>420.73544016787991</v>
      </c>
      <c r="K145" s="9">
        <f t="shared" ca="1" si="87"/>
        <v>421.06145202759558</v>
      </c>
      <c r="L145" s="9">
        <f t="shared" ca="1" si="88"/>
        <v>432.46412390379601</v>
      </c>
      <c r="M145" s="6">
        <f t="shared" ca="1" si="76"/>
        <v>449.9090303096778</v>
      </c>
      <c r="N145" s="6">
        <f t="shared" ca="1" si="89"/>
        <v>0</v>
      </c>
      <c r="O145" s="6">
        <f t="shared" ca="1" si="90"/>
        <v>0</v>
      </c>
      <c r="P145" s="6">
        <f ca="1">COUNTIFS($C$2:C144,"&lt;="&amp;C145,$M$2:M144,"&gt;"&amp;C145)</f>
        <v>0</v>
      </c>
      <c r="Q145" s="9">
        <f t="shared" ca="1" si="77"/>
        <v>0</v>
      </c>
      <c r="R145" s="9">
        <f t="shared" ca="1" si="78"/>
        <v>11.527054950990134</v>
      </c>
      <c r="S145" s="9">
        <f t="shared" ca="1" si="79"/>
        <v>11.728683735916093</v>
      </c>
      <c r="T145" s="6">
        <f t="shared" ca="1" si="80"/>
        <v>11.402671876200429</v>
      </c>
      <c r="U145" s="6">
        <f t="shared" ca="1" si="91"/>
        <v>17.444906405881795</v>
      </c>
      <c r="V145" s="8">
        <f t="shared" ca="1" si="92"/>
        <v>0</v>
      </c>
      <c r="W145" s="8">
        <f t="shared" ca="1" si="93"/>
        <v>0</v>
      </c>
      <c r="X145" s="8">
        <f t="shared" ca="1" si="94"/>
        <v>0</v>
      </c>
      <c r="Y145" s="8"/>
      <c r="Z145" s="8"/>
      <c r="AA145" s="8"/>
      <c r="AB145" s="8"/>
      <c r="AC145" s="8"/>
      <c r="AD145" s="8"/>
      <c r="AE145" s="8"/>
      <c r="AF145" s="8"/>
    </row>
    <row r="146" spans="1:32" ht="15" x14ac:dyDescent="0.3">
      <c r="A146" s="6">
        <v>145</v>
      </c>
      <c r="B146" s="6">
        <f t="shared" ca="1" si="81"/>
        <v>3.2935895744054915</v>
      </c>
      <c r="C146" s="9">
        <f t="shared" ca="1" si="82"/>
        <v>435.75771347820148</v>
      </c>
      <c r="D146" s="6">
        <f t="shared" ca="1" si="74"/>
        <v>0.43356585029448569</v>
      </c>
      <c r="E146" s="6" t="str">
        <f ca="1">LOOKUP(RAND(),{0,0.4,0.7,0.9},{"DEPOSIT","WITHDRAWAL","INQUIRY","LOAN"})</f>
        <v>WITHDRAWAL</v>
      </c>
      <c r="F146" s="6" t="str">
        <f t="shared" ca="1" si="83"/>
        <v>t3</v>
      </c>
      <c r="G146" s="6">
        <f t="shared" ca="1" si="75"/>
        <v>5.014269543025474</v>
      </c>
      <c r="H146" s="6">
        <f t="shared" ca="1" si="84"/>
        <v>449.9090303096778</v>
      </c>
      <c r="I146" s="6">
        <f t="shared" ca="1" si="85"/>
        <v>420.93706895280587</v>
      </c>
      <c r="J146" s="6">
        <f t="shared" ca="1" si="86"/>
        <v>440.77198302122696</v>
      </c>
      <c r="K146" s="9">
        <f t="shared" ca="1" si="87"/>
        <v>421.06145202759558</v>
      </c>
      <c r="L146" s="9">
        <f t="shared" ca="1" si="88"/>
        <v>435.75771347820148</v>
      </c>
      <c r="M146" s="6">
        <f t="shared" ca="1" si="76"/>
        <v>440.77198302122696</v>
      </c>
      <c r="N146" s="6">
        <f t="shared" ca="1" si="89"/>
        <v>0</v>
      </c>
      <c r="O146" s="6">
        <f t="shared" ca="1" si="90"/>
        <v>0</v>
      </c>
      <c r="P146" s="6">
        <f ca="1">COUNTIFS($C$2:C145,"&lt;="&amp;C146,$M$2:M145,"&gt;"&amp;C146)</f>
        <v>1</v>
      </c>
      <c r="Q146" s="9">
        <f t="shared" ca="1" si="77"/>
        <v>0</v>
      </c>
      <c r="R146" s="9">
        <f t="shared" ca="1" si="78"/>
        <v>14.820644525395608</v>
      </c>
      <c r="S146" s="9">
        <f t="shared" ca="1" si="79"/>
        <v>0</v>
      </c>
      <c r="T146" s="6">
        <f t="shared" ca="1" si="80"/>
        <v>14.696261450605903</v>
      </c>
      <c r="U146" s="6">
        <f t="shared" ca="1" si="91"/>
        <v>0</v>
      </c>
      <c r="V146" s="8">
        <f t="shared" ca="1" si="92"/>
        <v>0</v>
      </c>
      <c r="W146" s="8">
        <f t="shared" ca="1" si="93"/>
        <v>5.014269543025474</v>
      </c>
      <c r="X146" s="8">
        <f t="shared" ca="1" si="94"/>
        <v>0</v>
      </c>
      <c r="Y146" s="8"/>
      <c r="Z146" s="8"/>
      <c r="AA146" s="8"/>
      <c r="AB146" s="8"/>
      <c r="AC146" s="8"/>
      <c r="AD146" s="8"/>
      <c r="AE146" s="8"/>
      <c r="AF146" s="8"/>
    </row>
    <row r="147" spans="1:32" ht="15" x14ac:dyDescent="0.3">
      <c r="A147" s="6">
        <v>146</v>
      </c>
      <c r="B147" s="6">
        <f t="shared" ca="1" si="81"/>
        <v>0.20710163626946793</v>
      </c>
      <c r="C147" s="9">
        <f t="shared" ca="1" si="82"/>
        <v>435.96481511447092</v>
      </c>
      <c r="D147" s="6">
        <f t="shared" ca="1" si="74"/>
        <v>0.15203796804619751</v>
      </c>
      <c r="E147" s="6" t="str">
        <f ca="1">LOOKUP(RAND(),{0,0.4,0.7,0.9},{"DEPOSIT","WITHDRAWAL","INQUIRY","LOAN"})</f>
        <v>WITHDRAWAL</v>
      </c>
      <c r="F147" s="6" t="str">
        <f t="shared" ca="1" si="83"/>
        <v>t2</v>
      </c>
      <c r="G147" s="6">
        <f t="shared" ca="1" si="75"/>
        <v>11.301749997303105</v>
      </c>
      <c r="H147" s="6">
        <f t="shared" ca="1" si="84"/>
        <v>449.9090303096778</v>
      </c>
      <c r="I147" s="6">
        <f t="shared" ca="1" si="85"/>
        <v>447.26656511177401</v>
      </c>
      <c r="J147" s="6">
        <f t="shared" ca="1" si="86"/>
        <v>440.77198302122696</v>
      </c>
      <c r="K147" s="9">
        <f t="shared" ca="1" si="87"/>
        <v>421.06145202759558</v>
      </c>
      <c r="L147" s="9">
        <f t="shared" ca="1" si="88"/>
        <v>435.96481511447092</v>
      </c>
      <c r="M147" s="6">
        <f t="shared" ca="1" si="76"/>
        <v>447.26656511177401</v>
      </c>
      <c r="N147" s="6">
        <f t="shared" ca="1" si="89"/>
        <v>0</v>
      </c>
      <c r="O147" s="6">
        <f t="shared" ca="1" si="90"/>
        <v>0</v>
      </c>
      <c r="P147" s="6">
        <f ca="1">COUNTIFS($C$2:C146,"&lt;="&amp;C147,$M$2:M146,"&gt;"&amp;C147)</f>
        <v>2</v>
      </c>
      <c r="Q147" s="9">
        <f t="shared" ca="1" si="77"/>
        <v>0</v>
      </c>
      <c r="R147" s="9">
        <f t="shared" ca="1" si="78"/>
        <v>0</v>
      </c>
      <c r="S147" s="9">
        <f t="shared" ca="1" si="79"/>
        <v>0</v>
      </c>
      <c r="T147" s="6">
        <f t="shared" ca="1" si="80"/>
        <v>14.903363086875345</v>
      </c>
      <c r="U147" s="6">
        <f t="shared" ca="1" si="91"/>
        <v>0</v>
      </c>
      <c r="V147" s="8">
        <f t="shared" ca="1" si="92"/>
        <v>11.301749997303105</v>
      </c>
      <c r="W147" s="8">
        <f t="shared" ca="1" si="93"/>
        <v>0</v>
      </c>
      <c r="X147" s="8">
        <f t="shared" ca="1" si="94"/>
        <v>0</v>
      </c>
      <c r="Y147" s="8"/>
      <c r="Z147" s="8"/>
      <c r="AA147" s="8"/>
      <c r="AB147" s="8"/>
      <c r="AC147" s="8"/>
      <c r="AD147" s="8"/>
      <c r="AE147" s="8"/>
      <c r="AF147" s="8"/>
    </row>
    <row r="148" spans="1:32" ht="15" x14ac:dyDescent="0.3">
      <c r="A148" s="6">
        <v>147</v>
      </c>
      <c r="B148" s="6">
        <f t="shared" ca="1" si="81"/>
        <v>6.8424519667061728E-2</v>
      </c>
      <c r="C148" s="9">
        <f t="shared" ca="1" si="82"/>
        <v>436.033239634138</v>
      </c>
      <c r="D148" s="6">
        <f t="shared" ca="1" si="74"/>
        <v>0.61306539584543174</v>
      </c>
      <c r="E148" s="6" t="str">
        <f ca="1">LOOKUP(RAND(),{0,0.4,0.7,0.9},{"DEPOSIT","WITHDRAWAL","INQUIRY","LOAN"})</f>
        <v>DEPOSIT</v>
      </c>
      <c r="F148" s="6" t="str">
        <f t="shared" ca="1" si="83"/>
        <v>t4</v>
      </c>
      <c r="G148" s="6">
        <f t="shared" ca="1" si="75"/>
        <v>2.4464183354791245</v>
      </c>
      <c r="H148" s="6">
        <f t="shared" ca="1" si="84"/>
        <v>449.9090303096778</v>
      </c>
      <c r="I148" s="6">
        <f t="shared" ca="1" si="85"/>
        <v>447.26656511177401</v>
      </c>
      <c r="J148" s="6">
        <f t="shared" ca="1" si="86"/>
        <v>440.77198302122696</v>
      </c>
      <c r="K148" s="9">
        <f t="shared" ca="1" si="87"/>
        <v>423.50787036307469</v>
      </c>
      <c r="L148" s="9">
        <f t="shared" ca="1" si="88"/>
        <v>421.06145202759558</v>
      </c>
      <c r="M148" s="6">
        <f t="shared" ca="1" si="76"/>
        <v>423.50787036307469</v>
      </c>
      <c r="N148" s="6">
        <f t="shared" ca="1" si="89"/>
        <v>4.7387433870889595</v>
      </c>
      <c r="O148" s="6">
        <f t="shared" ca="1" si="90"/>
        <v>1</v>
      </c>
      <c r="P148" s="6">
        <f ca="1">COUNTIFS($C$2:C147,"&lt;="&amp;C148,$M$2:M147,"&gt;"&amp;C148)</f>
        <v>3</v>
      </c>
      <c r="Q148" s="9">
        <f t="shared" ca="1" si="77"/>
        <v>0</v>
      </c>
      <c r="R148" s="9">
        <f t="shared" ca="1" si="78"/>
        <v>0</v>
      </c>
      <c r="S148" s="9">
        <f t="shared" ca="1" si="79"/>
        <v>0</v>
      </c>
      <c r="T148" s="6">
        <f t="shared" ca="1" si="80"/>
        <v>12.525369271063312</v>
      </c>
      <c r="U148" s="6">
        <f t="shared" ca="1" si="91"/>
        <v>0</v>
      </c>
      <c r="V148" s="8">
        <f t="shared" ca="1" si="92"/>
        <v>0</v>
      </c>
      <c r="W148" s="8">
        <f t="shared" ca="1" si="93"/>
        <v>0</v>
      </c>
      <c r="X148" s="8">
        <f t="shared" ca="1" si="94"/>
        <v>2.4464183354791245</v>
      </c>
      <c r="Y148" s="8"/>
      <c r="Z148" s="8"/>
      <c r="AA148" s="8"/>
      <c r="AB148" s="8"/>
      <c r="AC148" s="8"/>
      <c r="AD148" s="8"/>
      <c r="AE148" s="8"/>
      <c r="AF148" s="8"/>
    </row>
    <row r="149" spans="1:32" ht="15" x14ac:dyDescent="0.3">
      <c r="A149" s="6">
        <v>148</v>
      </c>
      <c r="B149" s="6">
        <f t="shared" ca="1" si="81"/>
        <v>12.823429596409058</v>
      </c>
      <c r="C149" s="9">
        <f t="shared" ca="1" si="82"/>
        <v>448.85666923054708</v>
      </c>
      <c r="D149" s="6">
        <f t="shared" ca="1" si="74"/>
        <v>0.96421275373692972</v>
      </c>
      <c r="E149" s="6" t="str">
        <f ca="1">LOOKUP(RAND(),{0,0.4,0.7,0.9},{"DEPOSIT","WITHDRAWAL","INQUIRY","LOAN"})</f>
        <v>DEPOSIT</v>
      </c>
      <c r="F149" s="6" t="str">
        <f t="shared" ca="1" si="83"/>
        <v>t4</v>
      </c>
      <c r="G149" s="6">
        <f t="shared" ca="1" si="75"/>
        <v>1</v>
      </c>
      <c r="H149" s="6">
        <f t="shared" ca="1" si="84"/>
        <v>449.9090303096778</v>
      </c>
      <c r="I149" s="6">
        <f t="shared" ca="1" si="85"/>
        <v>447.26656511177401</v>
      </c>
      <c r="J149" s="6">
        <f t="shared" ca="1" si="86"/>
        <v>440.77198302122696</v>
      </c>
      <c r="K149" s="9">
        <f t="shared" ca="1" si="87"/>
        <v>449.85666923054708</v>
      </c>
      <c r="L149" s="9">
        <f t="shared" ca="1" si="88"/>
        <v>448.85666923054708</v>
      </c>
      <c r="M149" s="6">
        <f t="shared" ca="1" si="76"/>
        <v>449.85666923054708</v>
      </c>
      <c r="N149" s="6">
        <f t="shared" ca="1" si="89"/>
        <v>0</v>
      </c>
      <c r="O149" s="6">
        <f t="shared" ca="1" si="90"/>
        <v>0</v>
      </c>
      <c r="P149" s="6">
        <f ca="1">COUNTIFS($C$2:C148,"&lt;="&amp;C149,$M$2:M148,"&gt;"&amp;C149)</f>
        <v>1</v>
      </c>
      <c r="Q149" s="9">
        <f t="shared" ca="1" si="77"/>
        <v>0</v>
      </c>
      <c r="R149" s="9">
        <f t="shared" ca="1" si="78"/>
        <v>1.5901041187730698</v>
      </c>
      <c r="S149" s="9">
        <f t="shared" ca="1" si="79"/>
        <v>8.0846862093201253</v>
      </c>
      <c r="T149" s="6">
        <f t="shared" ca="1" si="80"/>
        <v>0</v>
      </c>
      <c r="U149" s="6">
        <f t="shared" ca="1" si="91"/>
        <v>0</v>
      </c>
      <c r="V149" s="8">
        <f t="shared" ca="1" si="92"/>
        <v>0</v>
      </c>
      <c r="W149" s="8">
        <f t="shared" ca="1" si="93"/>
        <v>0</v>
      </c>
      <c r="X149" s="8">
        <f t="shared" ca="1" si="94"/>
        <v>1</v>
      </c>
      <c r="Y149" s="8"/>
      <c r="Z149" s="8"/>
      <c r="AA149" s="8"/>
      <c r="AB149" s="8"/>
      <c r="AC149" s="8"/>
      <c r="AD149" s="8"/>
      <c r="AE149" s="8"/>
      <c r="AF149" s="8"/>
    </row>
    <row r="150" spans="1:32" ht="15" x14ac:dyDescent="0.3">
      <c r="A150" s="6">
        <v>149</v>
      </c>
      <c r="B150" s="6">
        <f t="shared" ca="1" si="81"/>
        <v>0.97540893901244363</v>
      </c>
      <c r="C150" s="9">
        <f t="shared" ca="1" si="82"/>
        <v>449.83207816955951</v>
      </c>
      <c r="D150" s="6">
        <f t="shared" ca="1" si="74"/>
        <v>0.75437864810118471</v>
      </c>
      <c r="E150" s="6" t="str">
        <f ca="1">LOOKUP(RAND(),{0,0.4,0.7,0.9},{"DEPOSIT","WITHDRAWAL","INQUIRY","LOAN"})</f>
        <v>WITHDRAWAL</v>
      </c>
      <c r="F150" s="6" t="str">
        <f t="shared" ca="1" si="83"/>
        <v>t3</v>
      </c>
      <c r="G150" s="6">
        <f t="shared" ca="1" si="75"/>
        <v>1.6911651073001144</v>
      </c>
      <c r="H150" s="6">
        <f t="shared" ca="1" si="84"/>
        <v>449.9090303096778</v>
      </c>
      <c r="I150" s="6">
        <f t="shared" ca="1" si="85"/>
        <v>447.26656511177401</v>
      </c>
      <c r="J150" s="6">
        <f t="shared" ca="1" si="86"/>
        <v>451.5232432768596</v>
      </c>
      <c r="K150" s="9">
        <f t="shared" ca="1" si="87"/>
        <v>449.85666923054708</v>
      </c>
      <c r="L150" s="9">
        <f t="shared" ca="1" si="88"/>
        <v>449.83207816955951</v>
      </c>
      <c r="M150" s="6">
        <f t="shared" ca="1" si="76"/>
        <v>451.5232432768596</v>
      </c>
      <c r="N150" s="6">
        <f t="shared" ca="1" si="89"/>
        <v>0</v>
      </c>
      <c r="O150" s="6">
        <f t="shared" ca="1" si="90"/>
        <v>0</v>
      </c>
      <c r="P150" s="6">
        <f ca="1">COUNTIFS($C$2:C149,"&lt;="&amp;C150,$M$2:M149,"&gt;"&amp;C150)</f>
        <v>2</v>
      </c>
      <c r="Q150" s="9">
        <f t="shared" ca="1" si="77"/>
        <v>0</v>
      </c>
      <c r="R150" s="9">
        <f t="shared" ca="1" si="78"/>
        <v>2.5655130577854948</v>
      </c>
      <c r="S150" s="9">
        <f t="shared" ca="1" si="79"/>
        <v>0</v>
      </c>
      <c r="T150" s="6">
        <f t="shared" ca="1" si="80"/>
        <v>0</v>
      </c>
      <c r="U150" s="6">
        <f t="shared" ca="1" si="91"/>
        <v>0</v>
      </c>
      <c r="V150" s="8">
        <f t="shared" ca="1" si="92"/>
        <v>0</v>
      </c>
      <c r="W150" s="8">
        <f t="shared" ca="1" si="93"/>
        <v>1.6911651073001144</v>
      </c>
      <c r="X150" s="8">
        <f t="shared" ca="1" si="94"/>
        <v>0</v>
      </c>
      <c r="Y150" s="8"/>
      <c r="Z150" s="8"/>
      <c r="AA150" s="8"/>
      <c r="AB150" s="8"/>
      <c r="AC150" s="8"/>
      <c r="AD150" s="8"/>
      <c r="AE150" s="8"/>
      <c r="AF150" s="8"/>
    </row>
    <row r="151" spans="1:32" ht="15" x14ac:dyDescent="0.3">
      <c r="A151" s="6">
        <v>150</v>
      </c>
      <c r="B151" s="6">
        <f t="shared" ca="1" si="81"/>
        <v>0.21621561447877563</v>
      </c>
      <c r="C151" s="9">
        <f t="shared" ca="1" si="82"/>
        <v>450.04829378403826</v>
      </c>
      <c r="D151" s="6">
        <f t="shared" ca="1" si="74"/>
        <v>0.18991927050911761</v>
      </c>
      <c r="E151" s="6" t="str">
        <f ca="1">LOOKUP(RAND(),{0,0.4,0.7,0.9},{"DEPOSIT","WITHDRAWAL","INQUIRY","LOAN"})</f>
        <v>WITHDRAWAL</v>
      </c>
      <c r="F151" s="6" t="str">
        <f t="shared" ca="1" si="83"/>
        <v>t2</v>
      </c>
      <c r="G151" s="6">
        <f t="shared" ca="1" si="75"/>
        <v>9.9669371350268037</v>
      </c>
      <c r="H151" s="6">
        <f t="shared" ca="1" si="84"/>
        <v>449.9090303096778</v>
      </c>
      <c r="I151" s="6">
        <f t="shared" ca="1" si="85"/>
        <v>460.01523091906506</v>
      </c>
      <c r="J151" s="6">
        <f t="shared" ca="1" si="86"/>
        <v>451.5232432768596</v>
      </c>
      <c r="K151" s="9">
        <f t="shared" ca="1" si="87"/>
        <v>449.85666923054708</v>
      </c>
      <c r="L151" s="9">
        <f t="shared" ca="1" si="88"/>
        <v>450.04829378403826</v>
      </c>
      <c r="M151" s="6">
        <f t="shared" ca="1" si="76"/>
        <v>460.01523091906506</v>
      </c>
      <c r="N151" s="6">
        <f t="shared" ca="1" si="89"/>
        <v>0</v>
      </c>
      <c r="O151" s="6">
        <f t="shared" ca="1" si="90"/>
        <v>0</v>
      </c>
      <c r="P151" s="6">
        <f ca="1">COUNTIFS($C$2:C150,"&lt;="&amp;C151,$M$2:M150,"&gt;"&amp;C151)</f>
        <v>1</v>
      </c>
      <c r="Q151" s="9">
        <f t="shared" ca="1" si="77"/>
        <v>0.13926347436046171</v>
      </c>
      <c r="R151" s="9">
        <f t="shared" ca="1" si="78"/>
        <v>0</v>
      </c>
      <c r="S151" s="9">
        <f t="shared" ca="1" si="79"/>
        <v>0</v>
      </c>
      <c r="T151" s="6">
        <f t="shared" ca="1" si="80"/>
        <v>0.1916245534911809</v>
      </c>
      <c r="U151" s="6">
        <f t="shared" ca="1" si="91"/>
        <v>0</v>
      </c>
      <c r="V151" s="8">
        <f t="shared" ca="1" si="92"/>
        <v>9.9669371350268037</v>
      </c>
      <c r="W151" s="8">
        <f t="shared" ca="1" si="93"/>
        <v>0</v>
      </c>
      <c r="X151" s="8">
        <f t="shared" ca="1" si="94"/>
        <v>0</v>
      </c>
      <c r="Y151" s="8"/>
      <c r="Z151" s="8"/>
      <c r="AA151" s="8"/>
      <c r="AB151" s="8"/>
      <c r="AC151" s="8"/>
      <c r="AD151" s="8"/>
      <c r="AE151" s="8"/>
      <c r="AF151" s="8"/>
    </row>
    <row r="152" spans="1:32" ht="15" x14ac:dyDescent="0.3">
      <c r="B152" s="6">
        <f ca="1">SUM(B2:B151)</f>
        <v>450.04829378403826</v>
      </c>
      <c r="G152" s="6">
        <f ca="1">SUM(G2:G151)</f>
        <v>838.45527066640898</v>
      </c>
      <c r="N152" s="6">
        <f ca="1">SUM(N2:N151)</f>
        <v>87.802443216085393</v>
      </c>
      <c r="O152" s="6">
        <f ca="1">SUM(O2:O151)</f>
        <v>31</v>
      </c>
      <c r="P152" s="6"/>
      <c r="Q152" s="9"/>
      <c r="R152" s="9"/>
      <c r="S152" s="9"/>
      <c r="T152" s="6">
        <f ca="1">SUM(T2:T151)</f>
        <v>542.54016031067431</v>
      </c>
      <c r="U152" s="6">
        <f ca="1">SUM(U2:U151)</f>
        <v>278.03806232676652</v>
      </c>
      <c r="V152" s="8">
        <f ca="1">SUM(V2:V151)</f>
        <v>192.57997942598291</v>
      </c>
      <c r="W152" s="8">
        <f ca="1">SUM(W2:W151)</f>
        <v>184.06806837522416</v>
      </c>
      <c r="X152" s="8">
        <f ca="1">SUM(X2:X151)</f>
        <v>183.76916053843544</v>
      </c>
      <c r="Y152" t="s">
        <v>41</v>
      </c>
    </row>
    <row r="153" spans="1:32" ht="15" x14ac:dyDescent="0.3">
      <c r="B153" s="6">
        <f ca="1">B152/160</f>
        <v>2.8128018361502392</v>
      </c>
      <c r="G153" s="6">
        <f ca="1">G152/160</f>
        <v>5.2403454416650561</v>
      </c>
      <c r="N153" s="6">
        <f ca="1">N152/M151</f>
        <v>0.19086855676640266</v>
      </c>
      <c r="O153" s="6">
        <f ca="1">O152/160</f>
        <v>0.19375000000000001</v>
      </c>
      <c r="P153" s="6"/>
      <c r="Q153" s="9"/>
      <c r="R153" s="9"/>
      <c r="S153" s="9"/>
      <c r="T153" s="6">
        <f ca="1">T152/M151</f>
        <v>1.1793960804878842</v>
      </c>
      <c r="U153">
        <f ca="1">U152/M151</f>
        <v>0.60441055782277886</v>
      </c>
      <c r="V153" s="8">
        <f ca="1">V152/M151</f>
        <v>0.41863826778349733</v>
      </c>
      <c r="W153">
        <f ca="1">W152/M151</f>
        <v>0.40013472599042932</v>
      </c>
      <c r="X153" s="8">
        <f ca="1">X152/M151</f>
        <v>0.39948494785984107</v>
      </c>
      <c r="Y153" t="s">
        <v>42</v>
      </c>
    </row>
    <row r="154" spans="1:32" x14ac:dyDescent="0.25">
      <c r="N154">
        <f ca="1">MAX(N2:N151)</f>
        <v>8.8072326566710899</v>
      </c>
      <c r="Y154" t="s">
        <v>44</v>
      </c>
    </row>
    <row r="155" spans="1:32" x14ac:dyDescent="0.25">
      <c r="U155" s="12">
        <f ca="1">U152/M151</f>
        <v>0.60441055782277886</v>
      </c>
      <c r="V155" s="12">
        <f ca="1">V152/M151</f>
        <v>0.41863826778349733</v>
      </c>
      <c r="W155" s="12">
        <f ca="1">W152/M151</f>
        <v>0.40013472599042932</v>
      </c>
      <c r="X155" s="12">
        <f ca="1">X152/M151</f>
        <v>0.39948494785984107</v>
      </c>
      <c r="Y155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5FEB0-CD4F-42EB-B5A3-975DE2D6A1B5}">
  <dimension ref="A1:V165"/>
  <sheetViews>
    <sheetView zoomScale="75" workbookViewId="0">
      <selection activeCell="W14" sqref="W14"/>
    </sheetView>
  </sheetViews>
  <sheetFormatPr defaultRowHeight="14.4" x14ac:dyDescent="0.25"/>
  <sheetData>
    <row r="1" spans="1:21" ht="17.39999999999999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43</v>
      </c>
      <c r="O1" s="2" t="s">
        <v>13</v>
      </c>
      <c r="P1" s="2" t="s">
        <v>14</v>
      </c>
      <c r="Q1" s="2" t="s">
        <v>15</v>
      </c>
      <c r="R1" s="2" t="s">
        <v>16</v>
      </c>
      <c r="S1" t="s">
        <v>49</v>
      </c>
      <c r="T1" t="s">
        <v>50</v>
      </c>
      <c r="U1" s="2" t="s">
        <v>51</v>
      </c>
    </row>
    <row r="2" spans="1:21" ht="15" x14ac:dyDescent="0.3">
      <c r="A2" s="6">
        <v>1</v>
      </c>
      <c r="B2" s="6"/>
      <c r="C2" s="6">
        <v>0</v>
      </c>
      <c r="D2" s="6">
        <f t="shared" ref="D2:D33" ca="1" si="0">RAND()</f>
        <v>0.46297323483440989</v>
      </c>
      <c r="E2" s="6" t="str">
        <f ca="1">LOOKUP(RAND(),{0,0.4,0.7,0.9},{"DEPOSIT","WITHDRAWAL","INQUIRY","LOAN"})</f>
        <v>DEPOSIT</v>
      </c>
      <c r="F2" s="6" t="s">
        <v>18</v>
      </c>
      <c r="G2" s="6">
        <f t="shared" ref="G2:G33" ca="1" si="1">IF(E2="DEPOSIT",MAX(1,-5*LN(D2)),IF(E2="WITHDRAWAL",MAX(1,-6*LN(D2)),IF(E2="INQUIRY",MAX(1,-4*LN(D2)),MAX(1,-12*LN(D2)))))</f>
        <v>3.8504301734994071</v>
      </c>
      <c r="H2" s="6">
        <f ca="1">L2</f>
        <v>3.8504301734994071</v>
      </c>
      <c r="I2" s="6">
        <v>0</v>
      </c>
      <c r="J2" s="6">
        <v>0</v>
      </c>
      <c r="K2" s="6">
        <f>C2</f>
        <v>0</v>
      </c>
      <c r="L2" s="6">
        <f t="shared" ref="L2:L33" ca="1" si="2">K2+G2</f>
        <v>3.8504301734994071</v>
      </c>
      <c r="M2" s="6">
        <v>0</v>
      </c>
      <c r="N2" s="6">
        <f>IF(M2=0,0,1)</f>
        <v>0</v>
      </c>
      <c r="O2" s="6">
        <f ca="1">COUNTIFS($C1:C$2,"&lt;="&amp;C2,$L1:L$2,"&gt;"&amp;C2)</f>
        <v>1</v>
      </c>
      <c r="P2" s="6">
        <f t="shared" ref="P2:P33" ca="1" si="3">MAX(0,C2-H2)</f>
        <v>0</v>
      </c>
      <c r="Q2" s="6">
        <f t="shared" ref="Q2:Q33" si="4">MAX(0,C2-I2)</f>
        <v>0</v>
      </c>
      <c r="R2" s="6">
        <f t="shared" ref="R2:R33" si="5">MAX(0,C2-J2)</f>
        <v>0</v>
      </c>
      <c r="S2">
        <f ca="1">IF(F2="t1",G2,0)</f>
        <v>3.8504301734994071</v>
      </c>
      <c r="T2">
        <f>IF(F2="t2",G2,0)</f>
        <v>0</v>
      </c>
      <c r="U2">
        <f>IF(F2="t3",G2,0)</f>
        <v>0</v>
      </c>
    </row>
    <row r="3" spans="1:21" ht="15" x14ac:dyDescent="0.3">
      <c r="A3" s="6">
        <v>2</v>
      </c>
      <c r="B3" s="6">
        <f t="shared" ref="B3:B34" ca="1" si="6">-LN(1-RAND())/(25/60)</f>
        <v>2.3476877896462809</v>
      </c>
      <c r="C3" s="9">
        <f t="shared" ref="C3:C34" ca="1" si="7">C2+B3</f>
        <v>2.3476877896462809</v>
      </c>
      <c r="D3" s="6">
        <f t="shared" ca="1" si="0"/>
        <v>0.31770448925738404</v>
      </c>
      <c r="E3" s="6" t="str">
        <f ca="1">LOOKUP(RAND(),{0,0.4,0.7,0.9},{"DEPOSIT","WITHDRAWAL","INQUIRY","LOAN"})</f>
        <v>WITHDRAWAL</v>
      </c>
      <c r="F3" s="6" t="str">
        <f t="shared" ref="F3:F34" ca="1" si="8">IF(C3&gt;MAX(H2,I2,J2),"t1",IF(MIN(H2,I2,J2)=H2,"t1",(IF(MIN(H2,I2,J2)=I2,"t2","t3"))))</f>
        <v>t2</v>
      </c>
      <c r="G3" s="6">
        <f t="shared" ca="1" si="1"/>
        <v>6.8798016438855774</v>
      </c>
      <c r="H3" s="6">
        <f t="shared" ref="H3:H34" ca="1" si="9">IF(F3="t1",L3,H2)</f>
        <v>3.8504301734994071</v>
      </c>
      <c r="I3" s="6">
        <f t="shared" ref="I3:I34" ca="1" si="10">IF(F3="t2",L3,I2)</f>
        <v>9.2274894335318578</v>
      </c>
      <c r="J3" s="6">
        <f t="shared" ref="J3:J34" ca="1" si="11">IF(F3="t3",L3,J2)</f>
        <v>0</v>
      </c>
      <c r="K3" s="9">
        <f t="shared" ref="K3:K34" ca="1" si="12">IF(M3=0,C3,MIN(H2,I2,J2))</f>
        <v>2.3476877896462809</v>
      </c>
      <c r="L3" s="6">
        <f t="shared" ca="1" si="2"/>
        <v>9.2274894335318578</v>
      </c>
      <c r="M3" s="6">
        <f t="shared" ref="M3:M34" ca="1" si="13">IF(C3&lt;MIN(H2,I2,J2),MIN(H2,I2,J2)-C3,0)</f>
        <v>0</v>
      </c>
      <c r="N3" s="6">
        <f t="shared" ref="N3:N66" ca="1" si="14">IF(M3=0,0,1)</f>
        <v>0</v>
      </c>
      <c r="O3" s="6">
        <f ca="1">COUNTIFS($C2:C$2,"&lt;="&amp;C3,$L2:L$2,"&gt;"&amp;C3)</f>
        <v>1</v>
      </c>
      <c r="P3" s="9">
        <f t="shared" ca="1" si="3"/>
        <v>0</v>
      </c>
      <c r="Q3" s="9">
        <f t="shared" ca="1" si="4"/>
        <v>0</v>
      </c>
      <c r="R3" s="9">
        <f t="shared" ca="1" si="5"/>
        <v>2.3476877896462809</v>
      </c>
      <c r="S3">
        <f t="shared" ref="S3:S66" ca="1" si="15">IF(F3="t1",G3,0)</f>
        <v>0</v>
      </c>
      <c r="T3">
        <f t="shared" ref="T3:T66" ca="1" si="16">IF(F3="t2",G3,0)</f>
        <v>6.8798016438855774</v>
      </c>
      <c r="U3">
        <f t="shared" ref="U3:U66" ca="1" si="17">IF(F3="t3",G3,0)</f>
        <v>0</v>
      </c>
    </row>
    <row r="4" spans="1:21" ht="15" x14ac:dyDescent="0.3">
      <c r="A4" s="6">
        <v>3</v>
      </c>
      <c r="B4" s="6">
        <f t="shared" ca="1" si="6"/>
        <v>6.6148875585982605</v>
      </c>
      <c r="C4" s="9">
        <f t="shared" ca="1" si="7"/>
        <v>8.9625753482445418</v>
      </c>
      <c r="D4" s="6">
        <f t="shared" ca="1" si="0"/>
        <v>0.17462245058000114</v>
      </c>
      <c r="E4" s="6" t="str">
        <f ca="1">LOOKUP(RAND(),{0,0.4,0.7,0.9},{"DEPOSIT","WITHDRAWAL","INQUIRY","LOAN"})</f>
        <v>DEPOSIT</v>
      </c>
      <c r="F4" s="6" t="str">
        <f t="shared" ca="1" si="8"/>
        <v>t3</v>
      </c>
      <c r="G4" s="6">
        <f t="shared" ca="1" si="1"/>
        <v>8.7256453045514419</v>
      </c>
      <c r="H4" s="6">
        <f t="shared" ca="1" si="9"/>
        <v>3.8504301734994071</v>
      </c>
      <c r="I4" s="6">
        <f t="shared" ca="1" si="10"/>
        <v>9.2274894335318578</v>
      </c>
      <c r="J4" s="6">
        <f t="shared" ca="1" si="11"/>
        <v>17.688220652795984</v>
      </c>
      <c r="K4" s="9">
        <f t="shared" ca="1" si="12"/>
        <v>8.9625753482445418</v>
      </c>
      <c r="L4" s="6">
        <f t="shared" ca="1" si="2"/>
        <v>17.688220652795984</v>
      </c>
      <c r="M4" s="6">
        <f t="shared" ca="1" si="13"/>
        <v>0</v>
      </c>
      <c r="N4" s="6">
        <f t="shared" ca="1" si="14"/>
        <v>0</v>
      </c>
      <c r="O4" s="6">
        <f ca="1">COUNTIFS($C$2:C3,"&lt;="&amp;C4,$L$2:L3,"&gt;"&amp;C4)</f>
        <v>1</v>
      </c>
      <c r="P4" s="9">
        <f t="shared" ca="1" si="3"/>
        <v>5.1121451747451347</v>
      </c>
      <c r="Q4" s="9">
        <f t="shared" ca="1" si="4"/>
        <v>0</v>
      </c>
      <c r="R4" s="9">
        <f t="shared" ca="1" si="5"/>
        <v>0</v>
      </c>
      <c r="S4">
        <f t="shared" ca="1" si="15"/>
        <v>0</v>
      </c>
      <c r="T4">
        <f t="shared" ca="1" si="16"/>
        <v>0</v>
      </c>
      <c r="U4">
        <f t="shared" ca="1" si="17"/>
        <v>8.7256453045514419</v>
      </c>
    </row>
    <row r="5" spans="1:21" ht="15" x14ac:dyDescent="0.3">
      <c r="A5" s="6">
        <v>4</v>
      </c>
      <c r="B5" s="6">
        <f t="shared" ca="1" si="6"/>
        <v>3.6181493291805502</v>
      </c>
      <c r="C5" s="9">
        <f t="shared" ca="1" si="7"/>
        <v>12.580724677425092</v>
      </c>
      <c r="D5" s="6">
        <f t="shared" ca="1" si="0"/>
        <v>4.2040351219523986E-2</v>
      </c>
      <c r="E5" s="6" t="str">
        <f ca="1">LOOKUP(RAND(),{0,0.4,0.7,0.9},{"DEPOSIT","WITHDRAWAL","INQUIRY","LOAN"})</f>
        <v>DEPOSIT</v>
      </c>
      <c r="F5" s="6" t="str">
        <f t="shared" ca="1" si="8"/>
        <v>t1</v>
      </c>
      <c r="G5" s="6">
        <f t="shared" ca="1" si="1"/>
        <v>15.845626892976249</v>
      </c>
      <c r="H5" s="6">
        <f t="shared" ca="1" si="9"/>
        <v>28.426351570401341</v>
      </c>
      <c r="I5" s="6">
        <f t="shared" ca="1" si="10"/>
        <v>9.2274894335318578</v>
      </c>
      <c r="J5" s="6">
        <f t="shared" ca="1" si="11"/>
        <v>17.688220652795984</v>
      </c>
      <c r="K5" s="9">
        <f t="shared" ca="1" si="12"/>
        <v>12.580724677425092</v>
      </c>
      <c r="L5" s="6">
        <f t="shared" ca="1" si="2"/>
        <v>28.426351570401341</v>
      </c>
      <c r="M5" s="6">
        <f t="shared" ca="1" si="13"/>
        <v>0</v>
      </c>
      <c r="N5" s="6">
        <f t="shared" ca="1" si="14"/>
        <v>0</v>
      </c>
      <c r="O5" s="6">
        <f ca="1">COUNTIFS($C$2:C4,"&lt;="&amp;C5,$L$2:L4,"&gt;"&amp;C5)</f>
        <v>1</v>
      </c>
      <c r="P5" s="9">
        <f t="shared" ca="1" si="3"/>
        <v>0</v>
      </c>
      <c r="Q5" s="9">
        <f t="shared" ca="1" si="4"/>
        <v>3.3532352438932342</v>
      </c>
      <c r="R5" s="9">
        <f t="shared" ca="1" si="5"/>
        <v>0</v>
      </c>
      <c r="S5">
        <f t="shared" ca="1" si="15"/>
        <v>15.845626892976249</v>
      </c>
      <c r="T5">
        <f t="shared" ca="1" si="16"/>
        <v>0</v>
      </c>
      <c r="U5">
        <f t="shared" ca="1" si="17"/>
        <v>0</v>
      </c>
    </row>
    <row r="6" spans="1:21" ht="15" x14ac:dyDescent="0.3">
      <c r="A6" s="6">
        <v>5</v>
      </c>
      <c r="B6" s="6">
        <f t="shared" ca="1" si="6"/>
        <v>2.8956828759065072</v>
      </c>
      <c r="C6" s="9">
        <f t="shared" ca="1" si="7"/>
        <v>15.476407553331599</v>
      </c>
      <c r="D6" s="6">
        <f t="shared" ca="1" si="0"/>
        <v>6.1361006794142581E-2</v>
      </c>
      <c r="E6" s="6" t="str">
        <f ca="1">LOOKUP(RAND(),{0,0.4,0.7,0.9},{"DEPOSIT","WITHDRAWAL","INQUIRY","LOAN"})</f>
        <v>DEPOSIT</v>
      </c>
      <c r="F6" s="6" t="str">
        <f t="shared" ca="1" si="8"/>
        <v>t2</v>
      </c>
      <c r="G6" s="6">
        <f t="shared" ca="1" si="1"/>
        <v>13.95490357034882</v>
      </c>
      <c r="H6" s="6">
        <f t="shared" ca="1" si="9"/>
        <v>28.426351570401341</v>
      </c>
      <c r="I6" s="6">
        <f t="shared" ca="1" si="10"/>
        <v>29.43131112368042</v>
      </c>
      <c r="J6" s="6">
        <f t="shared" ca="1" si="11"/>
        <v>17.688220652795984</v>
      </c>
      <c r="K6" s="9">
        <f t="shared" ca="1" si="12"/>
        <v>15.476407553331599</v>
      </c>
      <c r="L6" s="6">
        <f t="shared" ca="1" si="2"/>
        <v>29.43131112368042</v>
      </c>
      <c r="M6" s="6">
        <f t="shared" ca="1" si="13"/>
        <v>0</v>
      </c>
      <c r="N6" s="6">
        <f t="shared" ca="1" si="14"/>
        <v>0</v>
      </c>
      <c r="O6" s="6">
        <f ca="1">COUNTIFS($C$2:C5,"&lt;="&amp;C6,$L$2:L5,"&gt;"&amp;C6)</f>
        <v>2</v>
      </c>
      <c r="P6" s="9">
        <f t="shared" ca="1" si="3"/>
        <v>0</v>
      </c>
      <c r="Q6" s="9">
        <f t="shared" ca="1" si="4"/>
        <v>0</v>
      </c>
      <c r="R6" s="9">
        <f t="shared" ca="1" si="5"/>
        <v>0</v>
      </c>
      <c r="S6">
        <f t="shared" ca="1" si="15"/>
        <v>0</v>
      </c>
      <c r="T6">
        <f t="shared" ca="1" si="16"/>
        <v>13.95490357034882</v>
      </c>
      <c r="U6">
        <f t="shared" ca="1" si="17"/>
        <v>0</v>
      </c>
    </row>
    <row r="7" spans="1:21" ht="15" x14ac:dyDescent="0.3">
      <c r="A7" s="6">
        <v>6</v>
      </c>
      <c r="B7" s="6">
        <f t="shared" ca="1" si="6"/>
        <v>0.99981822416002786</v>
      </c>
      <c r="C7" s="9">
        <f t="shared" ca="1" si="7"/>
        <v>16.476225777491628</v>
      </c>
      <c r="D7" s="6">
        <f t="shared" ca="1" si="0"/>
        <v>0.70603612367574209</v>
      </c>
      <c r="E7" s="6" t="str">
        <f ca="1">LOOKUP(RAND(),{0,0.4,0.7,0.9},{"DEPOSIT","WITHDRAWAL","INQUIRY","LOAN"})</f>
        <v>INQUIRY</v>
      </c>
      <c r="F7" s="6" t="str">
        <f t="shared" ca="1" si="8"/>
        <v>t3</v>
      </c>
      <c r="G7" s="6">
        <f t="shared" ca="1" si="1"/>
        <v>1.392355504473374</v>
      </c>
      <c r="H7" s="6">
        <f t="shared" ca="1" si="9"/>
        <v>28.426351570401341</v>
      </c>
      <c r="I7" s="6">
        <f t="shared" ca="1" si="10"/>
        <v>29.43131112368042</v>
      </c>
      <c r="J7" s="6">
        <f t="shared" ca="1" si="11"/>
        <v>19.080576157269359</v>
      </c>
      <c r="K7" s="9">
        <f t="shared" ca="1" si="12"/>
        <v>17.688220652795984</v>
      </c>
      <c r="L7" s="6">
        <f t="shared" ca="1" si="2"/>
        <v>19.080576157269359</v>
      </c>
      <c r="M7" s="6">
        <f t="shared" ca="1" si="13"/>
        <v>1.2119948753043559</v>
      </c>
      <c r="N7" s="6">
        <f t="shared" ca="1" si="14"/>
        <v>1</v>
      </c>
      <c r="O7" s="6">
        <f ca="1">COUNTIFS($C$2:C6,"&lt;="&amp;C7,$L$2:L6,"&gt;"&amp;C7)</f>
        <v>3</v>
      </c>
      <c r="P7" s="9">
        <f t="shared" ca="1" si="3"/>
        <v>0</v>
      </c>
      <c r="Q7" s="9">
        <f t="shared" ca="1" si="4"/>
        <v>0</v>
      </c>
      <c r="R7" s="9">
        <f t="shared" ca="1" si="5"/>
        <v>0</v>
      </c>
      <c r="S7">
        <f t="shared" ca="1" si="15"/>
        <v>0</v>
      </c>
      <c r="T7">
        <f t="shared" ca="1" si="16"/>
        <v>0</v>
      </c>
      <c r="U7">
        <f t="shared" ca="1" si="17"/>
        <v>1.392355504473374</v>
      </c>
    </row>
    <row r="8" spans="1:21" ht="15" x14ac:dyDescent="0.3">
      <c r="A8" s="6">
        <v>7</v>
      </c>
      <c r="B8" s="6">
        <f t="shared" ca="1" si="6"/>
        <v>3.5424287518999868</v>
      </c>
      <c r="C8" s="9">
        <f t="shared" ca="1" si="7"/>
        <v>20.018654529391615</v>
      </c>
      <c r="D8" s="6">
        <f t="shared" ca="1" si="0"/>
        <v>1.9606290034642315E-2</v>
      </c>
      <c r="E8" s="6" t="str">
        <f ca="1">LOOKUP(RAND(),{0,0.4,0.7,0.9},{"DEPOSIT","WITHDRAWAL","INQUIRY","LOAN"})</f>
        <v>DEPOSIT</v>
      </c>
      <c r="F8" s="6" t="str">
        <f t="shared" ca="1" si="8"/>
        <v>t3</v>
      </c>
      <c r="G8" s="6">
        <f t="shared" ca="1" si="1"/>
        <v>19.659524220473529</v>
      </c>
      <c r="H8" s="6">
        <f t="shared" ca="1" si="9"/>
        <v>28.426351570401341</v>
      </c>
      <c r="I8" s="6">
        <f t="shared" ca="1" si="10"/>
        <v>29.43131112368042</v>
      </c>
      <c r="J8" s="6">
        <f t="shared" ca="1" si="11"/>
        <v>39.67817874986514</v>
      </c>
      <c r="K8" s="9">
        <f t="shared" ca="1" si="12"/>
        <v>20.018654529391615</v>
      </c>
      <c r="L8" s="6">
        <f t="shared" ca="1" si="2"/>
        <v>39.67817874986514</v>
      </c>
      <c r="M8" s="6">
        <f t="shared" ca="1" si="13"/>
        <v>0</v>
      </c>
      <c r="N8" s="6">
        <f t="shared" ca="1" si="14"/>
        <v>0</v>
      </c>
      <c r="O8" s="6">
        <f ca="1">COUNTIFS($C$2:C7,"&lt;="&amp;C8,$L$2:L7,"&gt;"&amp;C8)</f>
        <v>2</v>
      </c>
      <c r="P8" s="9">
        <f t="shared" ca="1" si="3"/>
        <v>0</v>
      </c>
      <c r="Q8" s="9">
        <f t="shared" ca="1" si="4"/>
        <v>0</v>
      </c>
      <c r="R8" s="9">
        <f t="shared" ca="1" si="5"/>
        <v>0</v>
      </c>
      <c r="S8">
        <f t="shared" ca="1" si="15"/>
        <v>0</v>
      </c>
      <c r="T8">
        <f t="shared" ca="1" si="16"/>
        <v>0</v>
      </c>
      <c r="U8">
        <f t="shared" ca="1" si="17"/>
        <v>19.659524220473529</v>
      </c>
    </row>
    <row r="9" spans="1:21" ht="15" x14ac:dyDescent="0.3">
      <c r="A9" s="6">
        <v>8</v>
      </c>
      <c r="B9" s="6">
        <f t="shared" ca="1" si="6"/>
        <v>2.3051635046649102</v>
      </c>
      <c r="C9" s="9">
        <f t="shared" ca="1" si="7"/>
        <v>22.323818034056526</v>
      </c>
      <c r="D9" s="6">
        <f t="shared" ca="1" si="0"/>
        <v>0.15809868112478764</v>
      </c>
      <c r="E9" s="6" t="str">
        <f ca="1">LOOKUP(RAND(),{0,0.4,0.7,0.9},{"DEPOSIT","WITHDRAWAL","INQUIRY","LOAN"})</f>
        <v>DEPOSIT</v>
      </c>
      <c r="F9" s="6" t="str">
        <f t="shared" ca="1" si="8"/>
        <v>t1</v>
      </c>
      <c r="G9" s="6">
        <f t="shared" ca="1" si="1"/>
        <v>9.2226793841660477</v>
      </c>
      <c r="H9" s="6">
        <f t="shared" ca="1" si="9"/>
        <v>37.649030954567387</v>
      </c>
      <c r="I9" s="6">
        <f t="shared" ca="1" si="10"/>
        <v>29.43131112368042</v>
      </c>
      <c r="J9" s="6">
        <f t="shared" ca="1" si="11"/>
        <v>39.67817874986514</v>
      </c>
      <c r="K9" s="9">
        <f t="shared" ca="1" si="12"/>
        <v>28.426351570401341</v>
      </c>
      <c r="L9" s="6">
        <f t="shared" ca="1" si="2"/>
        <v>37.649030954567387</v>
      </c>
      <c r="M9" s="6">
        <f t="shared" ca="1" si="13"/>
        <v>6.102533536344815</v>
      </c>
      <c r="N9" s="6">
        <f t="shared" ca="1" si="14"/>
        <v>1</v>
      </c>
      <c r="O9" s="6">
        <f ca="1">COUNTIFS($C$2:C8,"&lt;="&amp;C9,$L$2:L8,"&gt;"&amp;C9)</f>
        <v>3</v>
      </c>
      <c r="P9" s="9">
        <f t="shared" ca="1" si="3"/>
        <v>0</v>
      </c>
      <c r="Q9" s="9">
        <f t="shared" ca="1" si="4"/>
        <v>0</v>
      </c>
      <c r="R9" s="9">
        <f t="shared" ca="1" si="5"/>
        <v>0</v>
      </c>
      <c r="S9">
        <f t="shared" ca="1" si="15"/>
        <v>9.2226793841660477</v>
      </c>
      <c r="T9">
        <f t="shared" ca="1" si="16"/>
        <v>0</v>
      </c>
      <c r="U9">
        <f t="shared" ca="1" si="17"/>
        <v>0</v>
      </c>
    </row>
    <row r="10" spans="1:21" ht="15" x14ac:dyDescent="0.3">
      <c r="A10" s="6">
        <v>9</v>
      </c>
      <c r="B10" s="6">
        <f t="shared" ca="1" si="6"/>
        <v>0.62026721898022863</v>
      </c>
      <c r="C10" s="9">
        <f t="shared" ca="1" si="7"/>
        <v>22.944085253036754</v>
      </c>
      <c r="D10" s="6">
        <f t="shared" ca="1" si="0"/>
        <v>0.70090794476202345</v>
      </c>
      <c r="E10" s="6" t="str">
        <f ca="1">LOOKUP(RAND(),{0,0.4,0.7,0.9},{"DEPOSIT","WITHDRAWAL","INQUIRY","LOAN"})</f>
        <v>DEPOSIT</v>
      </c>
      <c r="F10" s="6" t="str">
        <f t="shared" ca="1" si="8"/>
        <v>t2</v>
      </c>
      <c r="G10" s="6">
        <f t="shared" ca="1" si="1"/>
        <v>1.7768936022687427</v>
      </c>
      <c r="H10" s="6">
        <f t="shared" ca="1" si="9"/>
        <v>37.649030954567387</v>
      </c>
      <c r="I10" s="6">
        <f t="shared" ca="1" si="10"/>
        <v>31.208204725949162</v>
      </c>
      <c r="J10" s="6">
        <f t="shared" ca="1" si="11"/>
        <v>39.67817874986514</v>
      </c>
      <c r="K10" s="9">
        <f t="shared" ca="1" si="12"/>
        <v>29.43131112368042</v>
      </c>
      <c r="L10" s="6">
        <f t="shared" ca="1" si="2"/>
        <v>31.208204725949162</v>
      </c>
      <c r="M10" s="6">
        <f t="shared" ca="1" si="13"/>
        <v>6.4872258706436661</v>
      </c>
      <c r="N10" s="6">
        <f t="shared" ca="1" si="14"/>
        <v>1</v>
      </c>
      <c r="O10" s="6">
        <f ca="1">COUNTIFS($C$2:C9,"&lt;="&amp;C10,$L$2:L9,"&gt;"&amp;C10)</f>
        <v>4</v>
      </c>
      <c r="P10" s="9">
        <f t="shared" ca="1" si="3"/>
        <v>0</v>
      </c>
      <c r="Q10" s="9">
        <f t="shared" ca="1" si="4"/>
        <v>0</v>
      </c>
      <c r="R10" s="9">
        <f t="shared" ca="1" si="5"/>
        <v>0</v>
      </c>
      <c r="S10">
        <f t="shared" ca="1" si="15"/>
        <v>0</v>
      </c>
      <c r="T10">
        <f t="shared" ca="1" si="16"/>
        <v>1.7768936022687427</v>
      </c>
      <c r="U10">
        <f t="shared" ca="1" si="17"/>
        <v>0</v>
      </c>
    </row>
    <row r="11" spans="1:21" ht="15" x14ac:dyDescent="0.3">
      <c r="A11" s="6">
        <v>10</v>
      </c>
      <c r="B11" s="6">
        <f t="shared" ca="1" si="6"/>
        <v>8.2453703285489137</v>
      </c>
      <c r="C11" s="9">
        <f t="shared" ca="1" si="7"/>
        <v>31.189455581585669</v>
      </c>
      <c r="D11" s="6">
        <f t="shared" ca="1" si="0"/>
        <v>0.74372175008862074</v>
      </c>
      <c r="E11" s="6" t="str">
        <f ca="1">LOOKUP(RAND(),{0,0.4,0.7,0.9},{"DEPOSIT","WITHDRAWAL","INQUIRY","LOAN"})</f>
        <v>DEPOSIT</v>
      </c>
      <c r="F11" s="6" t="str">
        <f t="shared" ca="1" si="8"/>
        <v>t2</v>
      </c>
      <c r="G11" s="6">
        <f t="shared" ca="1" si="1"/>
        <v>1.4804415295889808</v>
      </c>
      <c r="H11" s="6">
        <f t="shared" ca="1" si="9"/>
        <v>37.649030954567387</v>
      </c>
      <c r="I11" s="6">
        <f t="shared" ca="1" si="10"/>
        <v>32.688646255538146</v>
      </c>
      <c r="J11" s="6">
        <f t="shared" ca="1" si="11"/>
        <v>39.67817874986514</v>
      </c>
      <c r="K11" s="9">
        <f t="shared" ca="1" si="12"/>
        <v>31.208204725949162</v>
      </c>
      <c r="L11" s="6">
        <f t="shared" ca="1" si="2"/>
        <v>32.688646255538146</v>
      </c>
      <c r="M11" s="6">
        <f t="shared" ca="1" si="13"/>
        <v>1.8749144363493286E-2</v>
      </c>
      <c r="N11" s="6">
        <f t="shared" ca="1" si="14"/>
        <v>1</v>
      </c>
      <c r="O11" s="6">
        <f ca="1">COUNTIFS($C$2:C10,"&lt;="&amp;C11,$L$2:L10,"&gt;"&amp;C11)</f>
        <v>3</v>
      </c>
      <c r="P11" s="9">
        <f t="shared" ca="1" si="3"/>
        <v>0</v>
      </c>
      <c r="Q11" s="9">
        <f t="shared" ca="1" si="4"/>
        <v>0</v>
      </c>
      <c r="R11" s="9">
        <f t="shared" ca="1" si="5"/>
        <v>0</v>
      </c>
      <c r="S11">
        <f t="shared" ca="1" si="15"/>
        <v>0</v>
      </c>
      <c r="T11">
        <f t="shared" ca="1" si="16"/>
        <v>1.4804415295889808</v>
      </c>
      <c r="U11">
        <f t="shared" ca="1" si="17"/>
        <v>0</v>
      </c>
    </row>
    <row r="12" spans="1:21" ht="15" x14ac:dyDescent="0.3">
      <c r="A12" s="6">
        <v>11</v>
      </c>
      <c r="B12" s="6">
        <f t="shared" ca="1" si="6"/>
        <v>2.7742237792759239</v>
      </c>
      <c r="C12" s="9">
        <f t="shared" ca="1" si="7"/>
        <v>33.96367936086159</v>
      </c>
      <c r="D12" s="6">
        <f t="shared" ca="1" si="0"/>
        <v>9.5121600074469237E-3</v>
      </c>
      <c r="E12" s="6" t="str">
        <f ca="1">LOOKUP(RAND(),{0,0.4,0.7,0.9},{"DEPOSIT","WITHDRAWAL","INQUIRY","LOAN"})</f>
        <v>WITHDRAWAL</v>
      </c>
      <c r="F12" s="6" t="str">
        <f t="shared" ca="1" si="8"/>
        <v>t2</v>
      </c>
      <c r="G12" s="6">
        <f t="shared" ca="1" si="1"/>
        <v>27.931105788566263</v>
      </c>
      <c r="H12" s="6">
        <f t="shared" ca="1" si="9"/>
        <v>37.649030954567387</v>
      </c>
      <c r="I12" s="6">
        <f t="shared" ca="1" si="10"/>
        <v>61.894785149427854</v>
      </c>
      <c r="J12" s="6">
        <f t="shared" ca="1" si="11"/>
        <v>39.67817874986514</v>
      </c>
      <c r="K12" s="9">
        <f t="shared" ca="1" si="12"/>
        <v>33.96367936086159</v>
      </c>
      <c r="L12" s="6">
        <f t="shared" ca="1" si="2"/>
        <v>61.894785149427854</v>
      </c>
      <c r="M12" s="6">
        <f t="shared" ca="1" si="13"/>
        <v>0</v>
      </c>
      <c r="N12" s="6">
        <f t="shared" ca="1" si="14"/>
        <v>0</v>
      </c>
      <c r="O12" s="6">
        <f ca="1">COUNTIFS($C$2:C11,"&lt;="&amp;C12,$L$2:L11,"&gt;"&amp;C12)</f>
        <v>2</v>
      </c>
      <c r="P12" s="9">
        <f t="shared" ca="1" si="3"/>
        <v>0</v>
      </c>
      <c r="Q12" s="9">
        <f t="shared" ca="1" si="4"/>
        <v>0</v>
      </c>
      <c r="R12" s="9">
        <f t="shared" ca="1" si="5"/>
        <v>0</v>
      </c>
      <c r="S12">
        <f t="shared" ca="1" si="15"/>
        <v>0</v>
      </c>
      <c r="T12">
        <f t="shared" ca="1" si="16"/>
        <v>27.931105788566263</v>
      </c>
      <c r="U12">
        <f t="shared" ca="1" si="17"/>
        <v>0</v>
      </c>
    </row>
    <row r="13" spans="1:21" ht="15" x14ac:dyDescent="0.3">
      <c r="A13" s="6">
        <v>12</v>
      </c>
      <c r="B13" s="6">
        <f t="shared" ca="1" si="6"/>
        <v>3.8328892462913702</v>
      </c>
      <c r="C13" s="9">
        <f t="shared" ca="1" si="7"/>
        <v>37.796568607152963</v>
      </c>
      <c r="D13" s="6">
        <f t="shared" ca="1" si="0"/>
        <v>0.90053835251518355</v>
      </c>
      <c r="E13" s="6" t="str">
        <f ca="1">LOOKUP(RAND(),{0,0.4,0.7,0.9},{"DEPOSIT","WITHDRAWAL","INQUIRY","LOAN"})</f>
        <v>WITHDRAWAL</v>
      </c>
      <c r="F13" s="6" t="str">
        <f t="shared" ca="1" si="8"/>
        <v>t1</v>
      </c>
      <c r="G13" s="6">
        <f t="shared" ca="1" si="1"/>
        <v>1</v>
      </c>
      <c r="H13" s="6">
        <f t="shared" ca="1" si="9"/>
        <v>38.796568607152963</v>
      </c>
      <c r="I13" s="6">
        <f t="shared" ca="1" si="10"/>
        <v>61.894785149427854</v>
      </c>
      <c r="J13" s="6">
        <f t="shared" ca="1" si="11"/>
        <v>39.67817874986514</v>
      </c>
      <c r="K13" s="9">
        <f t="shared" ca="1" si="12"/>
        <v>37.796568607152963</v>
      </c>
      <c r="L13" s="6">
        <f t="shared" ca="1" si="2"/>
        <v>38.796568607152963</v>
      </c>
      <c r="M13" s="6">
        <f t="shared" ca="1" si="13"/>
        <v>0</v>
      </c>
      <c r="N13" s="6">
        <f t="shared" ca="1" si="14"/>
        <v>0</v>
      </c>
      <c r="O13" s="6">
        <f ca="1">COUNTIFS($C$2:C12,"&lt;="&amp;C13,$L$2:L12,"&gt;"&amp;C13)</f>
        <v>2</v>
      </c>
      <c r="P13" s="9">
        <f t="shared" ca="1" si="3"/>
        <v>0</v>
      </c>
      <c r="Q13" s="9">
        <f t="shared" ca="1" si="4"/>
        <v>0</v>
      </c>
      <c r="R13" s="9">
        <f t="shared" ca="1" si="5"/>
        <v>0</v>
      </c>
      <c r="S13">
        <f t="shared" ca="1" si="15"/>
        <v>1</v>
      </c>
      <c r="T13">
        <f t="shared" ca="1" si="16"/>
        <v>0</v>
      </c>
      <c r="U13">
        <f t="shared" ca="1" si="17"/>
        <v>0</v>
      </c>
    </row>
    <row r="14" spans="1:21" ht="15" x14ac:dyDescent="0.3">
      <c r="A14" s="6">
        <v>13</v>
      </c>
      <c r="B14" s="6">
        <f t="shared" ca="1" si="6"/>
        <v>2.3682933941609488</v>
      </c>
      <c r="C14" s="9">
        <f t="shared" ca="1" si="7"/>
        <v>40.164862001313914</v>
      </c>
      <c r="D14" s="6">
        <f t="shared" ca="1" si="0"/>
        <v>0.41442409947459502</v>
      </c>
      <c r="E14" s="6" t="str">
        <f ca="1">LOOKUP(RAND(),{0,0.4,0.7,0.9},{"DEPOSIT","WITHDRAWAL","INQUIRY","LOAN"})</f>
        <v>INQUIRY</v>
      </c>
      <c r="F14" s="6" t="str">
        <f t="shared" ca="1" si="8"/>
        <v>t1</v>
      </c>
      <c r="G14" s="6">
        <f t="shared" ca="1" si="1"/>
        <v>3.5234617385000759</v>
      </c>
      <c r="H14" s="6">
        <f t="shared" ca="1" si="9"/>
        <v>43.688323739813988</v>
      </c>
      <c r="I14" s="6">
        <f t="shared" ca="1" si="10"/>
        <v>61.894785149427854</v>
      </c>
      <c r="J14" s="6">
        <f t="shared" ca="1" si="11"/>
        <v>39.67817874986514</v>
      </c>
      <c r="K14" s="9">
        <f t="shared" ca="1" si="12"/>
        <v>40.164862001313914</v>
      </c>
      <c r="L14" s="6">
        <f t="shared" ca="1" si="2"/>
        <v>43.688323739813988</v>
      </c>
      <c r="M14" s="6">
        <f t="shared" ca="1" si="13"/>
        <v>0</v>
      </c>
      <c r="N14" s="6">
        <f t="shared" ca="1" si="14"/>
        <v>0</v>
      </c>
      <c r="O14" s="6">
        <f ca="1">COUNTIFS($C$2:C13,"&lt;="&amp;C14,$L$2:L13,"&gt;"&amp;C14)</f>
        <v>1</v>
      </c>
      <c r="P14" s="9">
        <f t="shared" ca="1" si="3"/>
        <v>0</v>
      </c>
      <c r="Q14" s="9">
        <f t="shared" ca="1" si="4"/>
        <v>0</v>
      </c>
      <c r="R14" s="9">
        <f t="shared" ca="1" si="5"/>
        <v>0.486683251448774</v>
      </c>
      <c r="S14">
        <f t="shared" ca="1" si="15"/>
        <v>3.5234617385000759</v>
      </c>
      <c r="T14">
        <f t="shared" ca="1" si="16"/>
        <v>0</v>
      </c>
      <c r="U14">
        <f ca="1">IF(F14="t3",G14,0)</f>
        <v>0</v>
      </c>
    </row>
    <row r="15" spans="1:21" ht="15" x14ac:dyDescent="0.3">
      <c r="A15" s="6">
        <v>14</v>
      </c>
      <c r="B15" s="6">
        <f t="shared" ca="1" si="6"/>
        <v>2.0636876629435599</v>
      </c>
      <c r="C15" s="9">
        <f t="shared" ca="1" si="7"/>
        <v>42.228549664257471</v>
      </c>
      <c r="D15" s="6">
        <f t="shared" ca="1" si="0"/>
        <v>0.85398426383846193</v>
      </c>
      <c r="E15" s="6" t="str">
        <f ca="1">LOOKUP(RAND(),{0,0.4,0.7,0.9},{"DEPOSIT","WITHDRAWAL","INQUIRY","LOAN"})</f>
        <v>DEPOSIT</v>
      </c>
      <c r="F15" s="6" t="str">
        <f t="shared" ca="1" si="8"/>
        <v>t3</v>
      </c>
      <c r="G15" s="6">
        <f t="shared" ca="1" si="1"/>
        <v>1</v>
      </c>
      <c r="H15" s="6">
        <f t="shared" ca="1" si="9"/>
        <v>43.688323739813988</v>
      </c>
      <c r="I15" s="6">
        <f t="shared" ca="1" si="10"/>
        <v>61.894785149427854</v>
      </c>
      <c r="J15" s="6">
        <f t="shared" ca="1" si="11"/>
        <v>43.228549664257471</v>
      </c>
      <c r="K15" s="9">
        <f t="shared" ca="1" si="12"/>
        <v>42.228549664257471</v>
      </c>
      <c r="L15" s="6">
        <f t="shared" ca="1" si="2"/>
        <v>43.228549664257471</v>
      </c>
      <c r="M15" s="6">
        <f t="shared" ca="1" si="13"/>
        <v>0</v>
      </c>
      <c r="N15" s="6">
        <f t="shared" ca="1" si="14"/>
        <v>0</v>
      </c>
      <c r="O15" s="6">
        <f ca="1">COUNTIFS($C$2:C14,"&lt;="&amp;C15,$L$2:L14,"&gt;"&amp;C15)</f>
        <v>2</v>
      </c>
      <c r="P15" s="9">
        <f t="shared" ca="1" si="3"/>
        <v>0</v>
      </c>
      <c r="Q15" s="9">
        <f t="shared" ca="1" si="4"/>
        <v>0</v>
      </c>
      <c r="R15" s="9">
        <f t="shared" ca="1" si="5"/>
        <v>0</v>
      </c>
      <c r="S15">
        <f t="shared" ca="1" si="15"/>
        <v>0</v>
      </c>
      <c r="T15">
        <f t="shared" ca="1" si="16"/>
        <v>0</v>
      </c>
      <c r="U15">
        <f t="shared" ca="1" si="17"/>
        <v>1</v>
      </c>
    </row>
    <row r="16" spans="1:21" ht="15" x14ac:dyDescent="0.3">
      <c r="A16" s="6">
        <v>15</v>
      </c>
      <c r="B16" s="6">
        <f t="shared" ca="1" si="6"/>
        <v>0.25498235610946918</v>
      </c>
      <c r="C16" s="9">
        <f t="shared" ca="1" si="7"/>
        <v>42.483532020366944</v>
      </c>
      <c r="D16" s="6">
        <f t="shared" ca="1" si="0"/>
        <v>0.55144481200106643</v>
      </c>
      <c r="E16" s="6" t="str">
        <f ca="1">LOOKUP(RAND(),{0,0.4,0.7,0.9},{"DEPOSIT","WITHDRAWAL","INQUIRY","LOAN"})</f>
        <v>WITHDRAWAL</v>
      </c>
      <c r="F16" s="6" t="str">
        <f t="shared" ca="1" si="8"/>
        <v>t3</v>
      </c>
      <c r="G16" s="6">
        <f t="shared" ca="1" si="1"/>
        <v>3.5712810851811874</v>
      </c>
      <c r="H16" s="6">
        <f t="shared" ca="1" si="9"/>
        <v>43.688323739813988</v>
      </c>
      <c r="I16" s="6">
        <f t="shared" ca="1" si="10"/>
        <v>61.894785149427854</v>
      </c>
      <c r="J16" s="6">
        <f t="shared" ca="1" si="11"/>
        <v>46.799830749438655</v>
      </c>
      <c r="K16" s="9">
        <f t="shared" ca="1" si="12"/>
        <v>43.228549664257471</v>
      </c>
      <c r="L16" s="6">
        <f t="shared" ca="1" si="2"/>
        <v>46.799830749438655</v>
      </c>
      <c r="M16" s="6">
        <f t="shared" ca="1" si="13"/>
        <v>0.74501764389052738</v>
      </c>
      <c r="N16" s="6">
        <f t="shared" ca="1" si="14"/>
        <v>1</v>
      </c>
      <c r="O16" s="6">
        <f ca="1">COUNTIFS($C$2:C15,"&lt;="&amp;C16,$L$2:L15,"&gt;"&amp;C16)</f>
        <v>3</v>
      </c>
      <c r="P16" s="9">
        <f t="shared" ca="1" si="3"/>
        <v>0</v>
      </c>
      <c r="Q16" s="9">
        <f t="shared" ca="1" si="4"/>
        <v>0</v>
      </c>
      <c r="R16" s="9">
        <f t="shared" ca="1" si="5"/>
        <v>0</v>
      </c>
      <c r="S16">
        <f t="shared" ca="1" si="15"/>
        <v>0</v>
      </c>
      <c r="T16">
        <f t="shared" ca="1" si="16"/>
        <v>0</v>
      </c>
      <c r="U16">
        <f t="shared" ca="1" si="17"/>
        <v>3.5712810851811874</v>
      </c>
    </row>
    <row r="17" spans="1:21" ht="15" x14ac:dyDescent="0.3">
      <c r="A17" s="6">
        <v>16</v>
      </c>
      <c r="B17" s="6">
        <f t="shared" ca="1" si="6"/>
        <v>5.5971134860431997</v>
      </c>
      <c r="C17" s="9">
        <f t="shared" ca="1" si="7"/>
        <v>48.080645506410143</v>
      </c>
      <c r="D17" s="6">
        <f t="shared" ca="1" si="0"/>
        <v>0.9318390524803366</v>
      </c>
      <c r="E17" s="6" t="str">
        <f ca="1">LOOKUP(RAND(),{0,0.4,0.7,0.9},{"DEPOSIT","WITHDRAWAL","INQUIRY","LOAN"})</f>
        <v>DEPOSIT</v>
      </c>
      <c r="F17" s="6" t="str">
        <f t="shared" ca="1" si="8"/>
        <v>t1</v>
      </c>
      <c r="G17" s="6">
        <f t="shared" ca="1" si="1"/>
        <v>1</v>
      </c>
      <c r="H17" s="6">
        <f t="shared" ca="1" si="9"/>
        <v>49.080645506410143</v>
      </c>
      <c r="I17" s="6">
        <f t="shared" ca="1" si="10"/>
        <v>61.894785149427854</v>
      </c>
      <c r="J17" s="6">
        <f t="shared" ca="1" si="11"/>
        <v>46.799830749438655</v>
      </c>
      <c r="K17" s="9">
        <f t="shared" ca="1" si="12"/>
        <v>48.080645506410143</v>
      </c>
      <c r="L17" s="6">
        <f t="shared" ca="1" si="2"/>
        <v>49.080645506410143</v>
      </c>
      <c r="M17" s="6">
        <f t="shared" ca="1" si="13"/>
        <v>0</v>
      </c>
      <c r="N17" s="6">
        <f t="shared" ca="1" si="14"/>
        <v>0</v>
      </c>
      <c r="O17" s="6">
        <f ca="1">COUNTIFS($C$2:C16,"&lt;="&amp;C17,$L$2:L16,"&gt;"&amp;C17)</f>
        <v>1</v>
      </c>
      <c r="P17" s="9">
        <f t="shared" ca="1" si="3"/>
        <v>0</v>
      </c>
      <c r="Q17" s="9">
        <f t="shared" ca="1" si="4"/>
        <v>0</v>
      </c>
      <c r="R17" s="9">
        <f t="shared" ca="1" si="5"/>
        <v>1.2808147569714876</v>
      </c>
      <c r="S17">
        <f t="shared" ca="1" si="15"/>
        <v>1</v>
      </c>
      <c r="T17">
        <f t="shared" ca="1" si="16"/>
        <v>0</v>
      </c>
      <c r="U17">
        <f t="shared" ca="1" si="17"/>
        <v>0</v>
      </c>
    </row>
    <row r="18" spans="1:21" ht="15" x14ac:dyDescent="0.3">
      <c r="A18" s="6">
        <v>17</v>
      </c>
      <c r="B18" s="6">
        <f t="shared" ca="1" si="6"/>
        <v>3.0803295282818519</v>
      </c>
      <c r="C18" s="9">
        <f t="shared" ca="1" si="7"/>
        <v>51.160975034691994</v>
      </c>
      <c r="D18" s="6">
        <f t="shared" ca="1" si="0"/>
        <v>0.9619249821125222</v>
      </c>
      <c r="E18" s="6" t="str">
        <f ca="1">LOOKUP(RAND(),{0,0.4,0.7,0.9},{"DEPOSIT","WITHDRAWAL","INQUIRY","LOAN"})</f>
        <v>DEPOSIT</v>
      </c>
      <c r="F18" s="6" t="str">
        <f t="shared" ca="1" si="8"/>
        <v>t3</v>
      </c>
      <c r="G18" s="6">
        <f t="shared" ca="1" si="1"/>
        <v>1</v>
      </c>
      <c r="H18" s="6">
        <f t="shared" ca="1" si="9"/>
        <v>49.080645506410143</v>
      </c>
      <c r="I18" s="6">
        <f t="shared" ca="1" si="10"/>
        <v>61.894785149427854</v>
      </c>
      <c r="J18" s="6">
        <f t="shared" ca="1" si="11"/>
        <v>52.160975034691994</v>
      </c>
      <c r="K18" s="9">
        <f t="shared" ca="1" si="12"/>
        <v>51.160975034691994</v>
      </c>
      <c r="L18" s="6">
        <f t="shared" ca="1" si="2"/>
        <v>52.160975034691994</v>
      </c>
      <c r="M18" s="6">
        <f t="shared" ca="1" si="13"/>
        <v>0</v>
      </c>
      <c r="N18" s="6">
        <f t="shared" ca="1" si="14"/>
        <v>0</v>
      </c>
      <c r="O18" s="6">
        <f ca="1">COUNTIFS($C$2:C17,"&lt;="&amp;C18,$L$2:L17,"&gt;"&amp;C18)</f>
        <v>1</v>
      </c>
      <c r="P18" s="9">
        <f t="shared" ca="1" si="3"/>
        <v>2.080329528281851</v>
      </c>
      <c r="Q18" s="9">
        <f t="shared" ca="1" si="4"/>
        <v>0</v>
      </c>
      <c r="R18" s="9">
        <f t="shared" ca="1" si="5"/>
        <v>0</v>
      </c>
      <c r="S18">
        <f t="shared" ca="1" si="15"/>
        <v>0</v>
      </c>
      <c r="T18">
        <f t="shared" ca="1" si="16"/>
        <v>0</v>
      </c>
      <c r="U18">
        <f t="shared" ca="1" si="17"/>
        <v>1</v>
      </c>
    </row>
    <row r="19" spans="1:21" ht="15" x14ac:dyDescent="0.3">
      <c r="A19" s="6">
        <v>18</v>
      </c>
      <c r="B19" s="6">
        <f t="shared" ca="1" si="6"/>
        <v>2.1200061628346547</v>
      </c>
      <c r="C19" s="9">
        <f t="shared" ca="1" si="7"/>
        <v>53.28098119752665</v>
      </c>
      <c r="D19" s="6">
        <f t="shared" ca="1" si="0"/>
        <v>0.1087993093437305</v>
      </c>
      <c r="E19" s="6" t="str">
        <f ca="1">LOOKUP(RAND(),{0,0.4,0.7,0.9},{"DEPOSIT","WITHDRAWAL","INQUIRY","LOAN"})</f>
        <v>DEPOSIT</v>
      </c>
      <c r="F19" s="6" t="str">
        <f t="shared" ca="1" si="8"/>
        <v>t1</v>
      </c>
      <c r="G19" s="6">
        <f t="shared" ca="1" si="1"/>
        <v>11.091251462620484</v>
      </c>
      <c r="H19" s="6">
        <f t="shared" ca="1" si="9"/>
        <v>64.372232660147134</v>
      </c>
      <c r="I19" s="6">
        <f t="shared" ca="1" si="10"/>
        <v>61.894785149427854</v>
      </c>
      <c r="J19" s="6">
        <f t="shared" ca="1" si="11"/>
        <v>52.160975034691994</v>
      </c>
      <c r="K19" s="9">
        <f t="shared" ca="1" si="12"/>
        <v>53.28098119752665</v>
      </c>
      <c r="L19" s="6">
        <f t="shared" ca="1" si="2"/>
        <v>64.372232660147134</v>
      </c>
      <c r="M19" s="6">
        <f t="shared" ca="1" si="13"/>
        <v>0</v>
      </c>
      <c r="N19" s="6">
        <f t="shared" ca="1" si="14"/>
        <v>0</v>
      </c>
      <c r="O19" s="6">
        <f ca="1">COUNTIFS($C$2:C18,"&lt;="&amp;C19,$L$2:L18,"&gt;"&amp;C19)</f>
        <v>1</v>
      </c>
      <c r="P19" s="9">
        <f t="shared" ca="1" si="3"/>
        <v>0</v>
      </c>
      <c r="Q19" s="9">
        <f t="shared" ca="1" si="4"/>
        <v>0</v>
      </c>
      <c r="R19" s="9">
        <f t="shared" ca="1" si="5"/>
        <v>1.120006162834656</v>
      </c>
      <c r="S19">
        <f t="shared" ca="1" si="15"/>
        <v>11.091251462620484</v>
      </c>
      <c r="T19">
        <f t="shared" ca="1" si="16"/>
        <v>0</v>
      </c>
      <c r="U19">
        <f t="shared" ca="1" si="17"/>
        <v>0</v>
      </c>
    </row>
    <row r="20" spans="1:21" ht="15" x14ac:dyDescent="0.3">
      <c r="A20" s="6">
        <v>19</v>
      </c>
      <c r="B20" s="6">
        <f t="shared" ca="1" si="6"/>
        <v>0.48134292975386322</v>
      </c>
      <c r="C20" s="9">
        <f t="shared" ca="1" si="7"/>
        <v>53.762324127280515</v>
      </c>
      <c r="D20" s="6">
        <f t="shared" ca="1" si="0"/>
        <v>0.83318464006484916</v>
      </c>
      <c r="E20" s="6" t="str">
        <f ca="1">LOOKUP(RAND(),{0,0.4,0.7,0.9},{"DEPOSIT","WITHDRAWAL","INQUIRY","LOAN"})</f>
        <v>LOAN</v>
      </c>
      <c r="F20" s="6" t="str">
        <f t="shared" ca="1" si="8"/>
        <v>t3</v>
      </c>
      <c r="G20" s="6">
        <f t="shared" ca="1" si="1"/>
        <v>2.1900000556440595</v>
      </c>
      <c r="H20" s="6">
        <f t="shared" ca="1" si="9"/>
        <v>64.372232660147134</v>
      </c>
      <c r="I20" s="6">
        <f t="shared" ca="1" si="10"/>
        <v>61.894785149427854</v>
      </c>
      <c r="J20" s="6">
        <f t="shared" ca="1" si="11"/>
        <v>55.952324182924571</v>
      </c>
      <c r="K20" s="9">
        <f t="shared" ca="1" si="12"/>
        <v>53.762324127280515</v>
      </c>
      <c r="L20" s="6">
        <f t="shared" ca="1" si="2"/>
        <v>55.952324182924571</v>
      </c>
      <c r="M20" s="6">
        <f t="shared" ca="1" si="13"/>
        <v>0</v>
      </c>
      <c r="N20" s="6">
        <f t="shared" ca="1" si="14"/>
        <v>0</v>
      </c>
      <c r="O20" s="6">
        <f ca="1">COUNTIFS($C$2:C19,"&lt;="&amp;C20,$L$2:L19,"&gt;"&amp;C20)</f>
        <v>2</v>
      </c>
      <c r="P20" s="9">
        <f t="shared" ca="1" si="3"/>
        <v>0</v>
      </c>
      <c r="Q20" s="9">
        <f t="shared" ca="1" si="4"/>
        <v>0</v>
      </c>
      <c r="R20" s="9">
        <f t="shared" ca="1" si="5"/>
        <v>0</v>
      </c>
      <c r="S20">
        <f t="shared" ca="1" si="15"/>
        <v>0</v>
      </c>
      <c r="T20">
        <f t="shared" ca="1" si="16"/>
        <v>0</v>
      </c>
      <c r="U20">
        <f t="shared" ca="1" si="17"/>
        <v>2.1900000556440595</v>
      </c>
    </row>
    <row r="21" spans="1:21" ht="15" x14ac:dyDescent="0.3">
      <c r="A21" s="6">
        <v>20</v>
      </c>
      <c r="B21" s="6">
        <f t="shared" ca="1" si="6"/>
        <v>1.135137188276609</v>
      </c>
      <c r="C21" s="9">
        <f t="shared" ca="1" si="7"/>
        <v>54.897461315557123</v>
      </c>
      <c r="D21" s="6">
        <f t="shared" ca="1" si="0"/>
        <v>0.77652540608669351</v>
      </c>
      <c r="E21" s="6" t="str">
        <f ca="1">LOOKUP(RAND(),{0,0.4,0.7,0.9},{"DEPOSIT","WITHDRAWAL","INQUIRY","LOAN"})</f>
        <v>DEPOSIT</v>
      </c>
      <c r="F21" s="6" t="str">
        <f t="shared" ca="1" si="8"/>
        <v>t3</v>
      </c>
      <c r="G21" s="6">
        <f t="shared" ca="1" si="1"/>
        <v>1.2646295910392544</v>
      </c>
      <c r="H21" s="6">
        <f t="shared" ca="1" si="9"/>
        <v>64.372232660147134</v>
      </c>
      <c r="I21" s="6">
        <f t="shared" ca="1" si="10"/>
        <v>61.894785149427854</v>
      </c>
      <c r="J21" s="6">
        <f t="shared" ca="1" si="11"/>
        <v>57.216953773963823</v>
      </c>
      <c r="K21" s="9">
        <f t="shared" ca="1" si="12"/>
        <v>55.952324182924571</v>
      </c>
      <c r="L21" s="6">
        <f t="shared" ca="1" si="2"/>
        <v>57.216953773963823</v>
      </c>
      <c r="M21" s="6">
        <f t="shared" ca="1" si="13"/>
        <v>1.0548628673674472</v>
      </c>
      <c r="N21" s="6">
        <f t="shared" ca="1" si="14"/>
        <v>1</v>
      </c>
      <c r="O21" s="6">
        <f ca="1">COUNTIFS($C$2:C20,"&lt;="&amp;C21,$L$2:L20,"&gt;"&amp;C21)</f>
        <v>3</v>
      </c>
      <c r="P21" s="9">
        <f t="shared" ca="1" si="3"/>
        <v>0</v>
      </c>
      <c r="Q21" s="9">
        <f t="shared" ca="1" si="4"/>
        <v>0</v>
      </c>
      <c r="R21" s="9">
        <f t="shared" ca="1" si="5"/>
        <v>0</v>
      </c>
      <c r="S21">
        <f t="shared" ca="1" si="15"/>
        <v>0</v>
      </c>
      <c r="T21">
        <f t="shared" ca="1" si="16"/>
        <v>0</v>
      </c>
      <c r="U21">
        <f t="shared" ca="1" si="17"/>
        <v>1.2646295910392544</v>
      </c>
    </row>
    <row r="22" spans="1:21" ht="15" x14ac:dyDescent="0.3">
      <c r="A22" s="6">
        <v>21</v>
      </c>
      <c r="B22" s="6">
        <f t="shared" ca="1" si="6"/>
        <v>1.1290305719308844</v>
      </c>
      <c r="C22" s="9">
        <f t="shared" ca="1" si="7"/>
        <v>56.026491887488007</v>
      </c>
      <c r="D22" s="6">
        <f t="shared" ca="1" si="0"/>
        <v>0.4393314011840993</v>
      </c>
      <c r="E22" s="6" t="str">
        <f ca="1">LOOKUP(RAND(),{0,0.4,0.7,0.9},{"DEPOSIT","WITHDRAWAL","INQUIRY","LOAN"})</f>
        <v>LOAN</v>
      </c>
      <c r="F22" s="6" t="str">
        <f t="shared" ca="1" si="8"/>
        <v>t3</v>
      </c>
      <c r="G22" s="6">
        <f t="shared" ca="1" si="1"/>
        <v>9.870015006110723</v>
      </c>
      <c r="H22" s="6">
        <f t="shared" ca="1" si="9"/>
        <v>64.372232660147134</v>
      </c>
      <c r="I22" s="6">
        <f t="shared" ca="1" si="10"/>
        <v>61.894785149427854</v>
      </c>
      <c r="J22" s="6">
        <f t="shared" ca="1" si="11"/>
        <v>67.086968780074542</v>
      </c>
      <c r="K22" s="9">
        <f t="shared" ca="1" si="12"/>
        <v>57.216953773963823</v>
      </c>
      <c r="L22" s="6">
        <f t="shared" ca="1" si="2"/>
        <v>67.086968780074542</v>
      </c>
      <c r="M22" s="6">
        <f t="shared" ca="1" si="13"/>
        <v>1.1904618864758163</v>
      </c>
      <c r="N22" s="6">
        <f t="shared" ca="1" si="14"/>
        <v>1</v>
      </c>
      <c r="O22" s="6">
        <f ca="1">COUNTIFS($C$2:C21,"&lt;="&amp;C22,$L$2:L21,"&gt;"&amp;C22)</f>
        <v>3</v>
      </c>
      <c r="P22" s="9">
        <f t="shared" ca="1" si="3"/>
        <v>0</v>
      </c>
      <c r="Q22" s="9">
        <f t="shared" ca="1" si="4"/>
        <v>0</v>
      </c>
      <c r="R22" s="9">
        <f t="shared" ca="1" si="5"/>
        <v>0</v>
      </c>
      <c r="S22">
        <f t="shared" ca="1" si="15"/>
        <v>0</v>
      </c>
      <c r="T22">
        <f t="shared" ca="1" si="16"/>
        <v>0</v>
      </c>
      <c r="U22">
        <f t="shared" ca="1" si="17"/>
        <v>9.870015006110723</v>
      </c>
    </row>
    <row r="23" spans="1:21" ht="15" x14ac:dyDescent="0.3">
      <c r="A23" s="6">
        <v>22</v>
      </c>
      <c r="B23" s="6">
        <f t="shared" ca="1" si="6"/>
        <v>0.83161564996286286</v>
      </c>
      <c r="C23" s="9">
        <f t="shared" ca="1" si="7"/>
        <v>56.85810753745087</v>
      </c>
      <c r="D23" s="6">
        <f t="shared" ca="1" si="0"/>
        <v>0.62796821357033195</v>
      </c>
      <c r="E23" s="6" t="str">
        <f ca="1">LOOKUP(RAND(),{0,0.4,0.7,0.9},{"DEPOSIT","WITHDRAWAL","INQUIRY","LOAN"})</f>
        <v>INQUIRY</v>
      </c>
      <c r="F23" s="6" t="str">
        <f t="shared" ca="1" si="8"/>
        <v>t2</v>
      </c>
      <c r="G23" s="6">
        <f t="shared" ca="1" si="1"/>
        <v>1.8610629165152157</v>
      </c>
      <c r="H23" s="6">
        <f t="shared" ca="1" si="9"/>
        <v>64.372232660147134</v>
      </c>
      <c r="I23" s="6">
        <f t="shared" ca="1" si="10"/>
        <v>63.75584806594307</v>
      </c>
      <c r="J23" s="6">
        <f t="shared" ca="1" si="11"/>
        <v>67.086968780074542</v>
      </c>
      <c r="K23" s="9">
        <f t="shared" ca="1" si="12"/>
        <v>61.894785149427854</v>
      </c>
      <c r="L23" s="6">
        <f t="shared" ca="1" si="2"/>
        <v>63.75584806594307</v>
      </c>
      <c r="M23" s="6">
        <f t="shared" ca="1" si="13"/>
        <v>5.0366776119769838</v>
      </c>
      <c r="N23" s="6">
        <f t="shared" ca="1" si="14"/>
        <v>1</v>
      </c>
      <c r="O23" s="6">
        <f ca="1">COUNTIFS($C$2:C22,"&lt;="&amp;C23,$L$2:L22,"&gt;"&amp;C23)</f>
        <v>4</v>
      </c>
      <c r="P23" s="9">
        <f t="shared" ca="1" si="3"/>
        <v>0</v>
      </c>
      <c r="Q23" s="9">
        <f t="shared" ca="1" si="4"/>
        <v>0</v>
      </c>
      <c r="R23" s="9">
        <f t="shared" ca="1" si="5"/>
        <v>0</v>
      </c>
      <c r="S23">
        <f t="shared" ca="1" si="15"/>
        <v>0</v>
      </c>
      <c r="T23">
        <f t="shared" ca="1" si="16"/>
        <v>1.8610629165152157</v>
      </c>
      <c r="U23">
        <f t="shared" ca="1" si="17"/>
        <v>0</v>
      </c>
    </row>
    <row r="24" spans="1:21" ht="15" x14ac:dyDescent="0.3">
      <c r="A24" s="6">
        <v>23</v>
      </c>
      <c r="B24" s="6">
        <f t="shared" ca="1" si="6"/>
        <v>1.0742504456578419</v>
      </c>
      <c r="C24" s="9">
        <f t="shared" ca="1" si="7"/>
        <v>57.932357983108709</v>
      </c>
      <c r="D24" s="6">
        <f t="shared" ca="1" si="0"/>
        <v>0.94676771609753196</v>
      </c>
      <c r="E24" s="6" t="str">
        <f ca="1">LOOKUP(RAND(),{0,0.4,0.7,0.9},{"DEPOSIT","WITHDRAWAL","INQUIRY","LOAN"})</f>
        <v>DEPOSIT</v>
      </c>
      <c r="F24" s="6" t="str">
        <f t="shared" ca="1" si="8"/>
        <v>t2</v>
      </c>
      <c r="G24" s="6">
        <f t="shared" ca="1" si="1"/>
        <v>1</v>
      </c>
      <c r="H24" s="6">
        <f t="shared" ca="1" si="9"/>
        <v>64.372232660147134</v>
      </c>
      <c r="I24" s="6">
        <f t="shared" ca="1" si="10"/>
        <v>64.75584806594307</v>
      </c>
      <c r="J24" s="6">
        <f t="shared" ca="1" si="11"/>
        <v>67.086968780074542</v>
      </c>
      <c r="K24" s="9">
        <f t="shared" ca="1" si="12"/>
        <v>63.75584806594307</v>
      </c>
      <c r="L24" s="6">
        <f t="shared" ca="1" si="2"/>
        <v>64.75584806594307</v>
      </c>
      <c r="M24" s="6">
        <f t="shared" ca="1" si="13"/>
        <v>5.8234900828343612</v>
      </c>
      <c r="N24" s="6">
        <f t="shared" ca="1" si="14"/>
        <v>1</v>
      </c>
      <c r="O24" s="6">
        <f ca="1">COUNTIFS($C$2:C23,"&lt;="&amp;C24,$L$2:L23,"&gt;"&amp;C24)</f>
        <v>4</v>
      </c>
      <c r="P24" s="9">
        <f t="shared" ca="1" si="3"/>
        <v>0</v>
      </c>
      <c r="Q24" s="9">
        <f t="shared" ca="1" si="4"/>
        <v>0</v>
      </c>
      <c r="R24" s="9">
        <f t="shared" ca="1" si="5"/>
        <v>0</v>
      </c>
      <c r="S24">
        <f t="shared" ca="1" si="15"/>
        <v>0</v>
      </c>
      <c r="T24">
        <f t="shared" ca="1" si="16"/>
        <v>1</v>
      </c>
      <c r="U24">
        <f t="shared" ca="1" si="17"/>
        <v>0</v>
      </c>
    </row>
    <row r="25" spans="1:21" ht="15" x14ac:dyDescent="0.3">
      <c r="A25" s="6">
        <v>24</v>
      </c>
      <c r="B25" s="6">
        <f t="shared" ca="1" si="6"/>
        <v>2.9340909330351219</v>
      </c>
      <c r="C25" s="9">
        <f t="shared" ca="1" si="7"/>
        <v>60.866448916143831</v>
      </c>
      <c r="D25" s="6">
        <f t="shared" ca="1" si="0"/>
        <v>0.98874439880561193</v>
      </c>
      <c r="E25" s="6" t="str">
        <f ca="1">LOOKUP(RAND(),{0,0.4,0.7,0.9},{"DEPOSIT","WITHDRAWAL","INQUIRY","LOAN"})</f>
        <v>DEPOSIT</v>
      </c>
      <c r="F25" s="6" t="str">
        <f t="shared" ca="1" si="8"/>
        <v>t1</v>
      </c>
      <c r="G25" s="6">
        <f t="shared" ca="1" si="1"/>
        <v>1</v>
      </c>
      <c r="H25" s="6">
        <f t="shared" ca="1" si="9"/>
        <v>65.372232660147134</v>
      </c>
      <c r="I25" s="6">
        <f t="shared" ca="1" si="10"/>
        <v>64.75584806594307</v>
      </c>
      <c r="J25" s="6">
        <f t="shared" ca="1" si="11"/>
        <v>67.086968780074542</v>
      </c>
      <c r="K25" s="9">
        <f t="shared" ca="1" si="12"/>
        <v>64.372232660147134</v>
      </c>
      <c r="L25" s="6">
        <f t="shared" ca="1" si="2"/>
        <v>65.372232660147134</v>
      </c>
      <c r="M25" s="6">
        <f t="shared" ca="1" si="13"/>
        <v>3.5057837440033026</v>
      </c>
      <c r="N25" s="6">
        <f t="shared" ca="1" si="14"/>
        <v>1</v>
      </c>
      <c r="O25" s="6">
        <f ca="1">COUNTIFS($C$2:C24,"&lt;="&amp;C25,$L$2:L24,"&gt;"&amp;C25)</f>
        <v>5</v>
      </c>
      <c r="P25" s="9">
        <f t="shared" ca="1" si="3"/>
        <v>0</v>
      </c>
      <c r="Q25" s="9">
        <f t="shared" ca="1" si="4"/>
        <v>0</v>
      </c>
      <c r="R25" s="9">
        <f t="shared" ca="1" si="5"/>
        <v>0</v>
      </c>
      <c r="S25">
        <f t="shared" ca="1" si="15"/>
        <v>1</v>
      </c>
      <c r="T25">
        <f t="shared" ca="1" si="16"/>
        <v>0</v>
      </c>
      <c r="U25">
        <f t="shared" ca="1" si="17"/>
        <v>0</v>
      </c>
    </row>
    <row r="26" spans="1:21" ht="15" x14ac:dyDescent="0.3">
      <c r="A26" s="6">
        <v>25</v>
      </c>
      <c r="B26" s="6">
        <f t="shared" ca="1" si="6"/>
        <v>1.1998729028434165</v>
      </c>
      <c r="C26" s="9">
        <f t="shared" ca="1" si="7"/>
        <v>62.066321818987248</v>
      </c>
      <c r="D26" s="6">
        <f t="shared" ca="1" si="0"/>
        <v>0.57138570141741685</v>
      </c>
      <c r="E26" s="6" t="str">
        <f ca="1">LOOKUP(RAND(),{0,0.4,0.7,0.9},{"DEPOSIT","WITHDRAWAL","INQUIRY","LOAN"})</f>
        <v>DEPOSIT</v>
      </c>
      <c r="F26" s="6" t="str">
        <f t="shared" ca="1" si="8"/>
        <v>t2</v>
      </c>
      <c r="G26" s="6">
        <f t="shared" ca="1" si="1"/>
        <v>2.7984540663463657</v>
      </c>
      <c r="H26" s="6">
        <f t="shared" ca="1" si="9"/>
        <v>65.372232660147134</v>
      </c>
      <c r="I26" s="6">
        <f t="shared" ca="1" si="10"/>
        <v>67.554302132289436</v>
      </c>
      <c r="J26" s="6">
        <f t="shared" ca="1" si="11"/>
        <v>67.086968780074542</v>
      </c>
      <c r="K26" s="9">
        <f t="shared" ca="1" si="12"/>
        <v>64.75584806594307</v>
      </c>
      <c r="L26" s="6">
        <f t="shared" ca="1" si="2"/>
        <v>67.554302132289436</v>
      </c>
      <c r="M26" s="6">
        <f t="shared" ca="1" si="13"/>
        <v>2.6895262469558219</v>
      </c>
      <c r="N26" s="6">
        <f t="shared" ca="1" si="14"/>
        <v>1</v>
      </c>
      <c r="O26" s="6">
        <f ca="1">COUNTIFS($C$2:C25,"&lt;="&amp;C26,$L$2:L25,"&gt;"&amp;C26)</f>
        <v>5</v>
      </c>
      <c r="P26" s="9">
        <f t="shared" ca="1" si="3"/>
        <v>0</v>
      </c>
      <c r="Q26" s="9">
        <f t="shared" ca="1" si="4"/>
        <v>0</v>
      </c>
      <c r="R26" s="9">
        <f t="shared" ca="1" si="5"/>
        <v>0</v>
      </c>
      <c r="S26">
        <f t="shared" ca="1" si="15"/>
        <v>0</v>
      </c>
      <c r="T26">
        <f t="shared" ca="1" si="16"/>
        <v>2.7984540663463657</v>
      </c>
      <c r="U26">
        <f t="shared" ca="1" si="17"/>
        <v>0</v>
      </c>
    </row>
    <row r="27" spans="1:21" ht="15" x14ac:dyDescent="0.3">
      <c r="A27" s="6">
        <v>26</v>
      </c>
      <c r="B27" s="6">
        <f t="shared" ca="1" si="6"/>
        <v>2.8708340652721804</v>
      </c>
      <c r="C27" s="9">
        <f t="shared" ca="1" si="7"/>
        <v>64.937155884259425</v>
      </c>
      <c r="D27" s="6">
        <f t="shared" ca="1" si="0"/>
        <v>0.8622920091475953</v>
      </c>
      <c r="E27" s="6" t="str">
        <f ca="1">LOOKUP(RAND(),{0,0.4,0.7,0.9},{"DEPOSIT","WITHDRAWAL","INQUIRY","LOAN"})</f>
        <v>LOAN</v>
      </c>
      <c r="F27" s="6" t="str">
        <f t="shared" ca="1" si="8"/>
        <v>t1</v>
      </c>
      <c r="G27" s="6">
        <f t="shared" ca="1" si="1"/>
        <v>1.7779356956646621</v>
      </c>
      <c r="H27" s="6">
        <f t="shared" ca="1" si="9"/>
        <v>67.1501683558118</v>
      </c>
      <c r="I27" s="6">
        <f t="shared" ca="1" si="10"/>
        <v>67.554302132289436</v>
      </c>
      <c r="J27" s="6">
        <f t="shared" ca="1" si="11"/>
        <v>67.086968780074542</v>
      </c>
      <c r="K27" s="9">
        <f t="shared" ca="1" si="12"/>
        <v>65.372232660147134</v>
      </c>
      <c r="L27" s="6">
        <f t="shared" ca="1" si="2"/>
        <v>67.1501683558118</v>
      </c>
      <c r="M27" s="6">
        <f t="shared" ca="1" si="13"/>
        <v>0.43507677588770832</v>
      </c>
      <c r="N27" s="6">
        <f t="shared" ca="1" si="14"/>
        <v>1</v>
      </c>
      <c r="O27" s="6">
        <f ca="1">COUNTIFS($C$2:C26,"&lt;="&amp;C27,$L$2:L26,"&gt;"&amp;C27)</f>
        <v>3</v>
      </c>
      <c r="P27" s="9">
        <f t="shared" ca="1" si="3"/>
        <v>0</v>
      </c>
      <c r="Q27" s="9">
        <f t="shared" ca="1" si="4"/>
        <v>0</v>
      </c>
      <c r="R27" s="9">
        <f t="shared" ca="1" si="5"/>
        <v>0</v>
      </c>
      <c r="S27">
        <f t="shared" ca="1" si="15"/>
        <v>1.7779356956646621</v>
      </c>
      <c r="T27">
        <f t="shared" ca="1" si="16"/>
        <v>0</v>
      </c>
      <c r="U27">
        <f t="shared" ca="1" si="17"/>
        <v>0</v>
      </c>
    </row>
    <row r="28" spans="1:21" ht="15" x14ac:dyDescent="0.3">
      <c r="A28" s="6">
        <v>27</v>
      </c>
      <c r="B28" s="6">
        <f t="shared" ca="1" si="6"/>
        <v>1.5231598683528895</v>
      </c>
      <c r="C28" s="9">
        <f t="shared" ca="1" si="7"/>
        <v>66.460315752612317</v>
      </c>
      <c r="D28" s="6">
        <f t="shared" ca="1" si="0"/>
        <v>0.15564067303452245</v>
      </c>
      <c r="E28" s="6" t="str">
        <f ca="1">LOOKUP(RAND(),{0,0.4,0.7,0.9},{"DEPOSIT","WITHDRAWAL","INQUIRY","LOAN"})</f>
        <v>WITHDRAWAL</v>
      </c>
      <c r="F28" s="6" t="str">
        <f t="shared" ca="1" si="8"/>
        <v>t3</v>
      </c>
      <c r="G28" s="6">
        <f t="shared" ca="1" si="1"/>
        <v>11.161231839432668</v>
      </c>
      <c r="H28" s="6">
        <f t="shared" ca="1" si="9"/>
        <v>67.1501683558118</v>
      </c>
      <c r="I28" s="6">
        <f t="shared" ca="1" si="10"/>
        <v>67.554302132289436</v>
      </c>
      <c r="J28" s="6">
        <f t="shared" ca="1" si="11"/>
        <v>78.248200619507216</v>
      </c>
      <c r="K28" s="9">
        <f t="shared" ca="1" si="12"/>
        <v>67.086968780074542</v>
      </c>
      <c r="L28" s="6">
        <f t="shared" ca="1" si="2"/>
        <v>78.248200619507216</v>
      </c>
      <c r="M28" s="6">
        <f t="shared" ca="1" si="13"/>
        <v>0.62665302746222551</v>
      </c>
      <c r="N28" s="6">
        <f t="shared" ca="1" si="14"/>
        <v>1</v>
      </c>
      <c r="O28" s="6">
        <f ca="1">COUNTIFS($C$2:C27,"&lt;="&amp;C28,$L$2:L27,"&gt;"&amp;C28)</f>
        <v>3</v>
      </c>
      <c r="P28" s="9">
        <f t="shared" ca="1" si="3"/>
        <v>0</v>
      </c>
      <c r="Q28" s="9">
        <f t="shared" ca="1" si="4"/>
        <v>0</v>
      </c>
      <c r="R28" s="9">
        <f t="shared" ca="1" si="5"/>
        <v>0</v>
      </c>
      <c r="S28">
        <f t="shared" ca="1" si="15"/>
        <v>0</v>
      </c>
      <c r="T28">
        <f t="shared" ca="1" si="16"/>
        <v>0</v>
      </c>
      <c r="U28">
        <f t="shared" ca="1" si="17"/>
        <v>11.161231839432668</v>
      </c>
    </row>
    <row r="29" spans="1:21" ht="15" x14ac:dyDescent="0.3">
      <c r="A29" s="6">
        <v>28</v>
      </c>
      <c r="B29" s="6">
        <f t="shared" ca="1" si="6"/>
        <v>8.6180012467529377</v>
      </c>
      <c r="C29" s="9">
        <f t="shared" ca="1" si="7"/>
        <v>75.078316999365256</v>
      </c>
      <c r="D29" s="6">
        <f t="shared" ca="1" si="0"/>
        <v>0.2199386162185768</v>
      </c>
      <c r="E29" s="6" t="str">
        <f ca="1">LOOKUP(RAND(),{0,0.4,0.7,0.9},{"DEPOSIT","WITHDRAWAL","INQUIRY","LOAN"})</f>
        <v>DEPOSIT</v>
      </c>
      <c r="F29" s="6" t="str">
        <f t="shared" ca="1" si="8"/>
        <v>t1</v>
      </c>
      <c r="G29" s="6">
        <f t="shared" ca="1" si="1"/>
        <v>7.5720339437530022</v>
      </c>
      <c r="H29" s="6">
        <f t="shared" ca="1" si="9"/>
        <v>82.650350943118255</v>
      </c>
      <c r="I29" s="6">
        <f t="shared" ca="1" si="10"/>
        <v>67.554302132289436</v>
      </c>
      <c r="J29" s="6">
        <f t="shared" ca="1" si="11"/>
        <v>78.248200619507216</v>
      </c>
      <c r="K29" s="9">
        <f t="shared" ca="1" si="12"/>
        <v>75.078316999365256</v>
      </c>
      <c r="L29" s="6">
        <f t="shared" ca="1" si="2"/>
        <v>82.650350943118255</v>
      </c>
      <c r="M29" s="6">
        <f t="shared" ca="1" si="13"/>
        <v>0</v>
      </c>
      <c r="N29" s="6">
        <f t="shared" ca="1" si="14"/>
        <v>0</v>
      </c>
      <c r="O29" s="6">
        <f ca="1">COUNTIFS($C$2:C28,"&lt;="&amp;C29,$L$2:L28,"&gt;"&amp;C29)</f>
        <v>1</v>
      </c>
      <c r="P29" s="9">
        <f t="shared" ca="1" si="3"/>
        <v>0</v>
      </c>
      <c r="Q29" s="9">
        <f t="shared" ca="1" si="4"/>
        <v>7.5240148670758202</v>
      </c>
      <c r="R29" s="9">
        <f t="shared" ca="1" si="5"/>
        <v>0</v>
      </c>
      <c r="S29">
        <f t="shared" ca="1" si="15"/>
        <v>7.5720339437530022</v>
      </c>
      <c r="T29">
        <f t="shared" ca="1" si="16"/>
        <v>0</v>
      </c>
      <c r="U29">
        <f t="shared" ca="1" si="17"/>
        <v>0</v>
      </c>
    </row>
    <row r="30" spans="1:21" ht="15" x14ac:dyDescent="0.3">
      <c r="A30" s="6">
        <v>29</v>
      </c>
      <c r="B30" s="6">
        <f t="shared" ca="1" si="6"/>
        <v>3.9872494558875706</v>
      </c>
      <c r="C30" s="9">
        <f t="shared" ca="1" si="7"/>
        <v>79.065566455252821</v>
      </c>
      <c r="D30" s="6">
        <f t="shared" ca="1" si="0"/>
        <v>0.39141632608407617</v>
      </c>
      <c r="E30" s="6" t="str">
        <f ca="1">LOOKUP(RAND(),{0,0.4,0.7,0.9},{"DEPOSIT","WITHDRAWAL","INQUIRY","LOAN"})</f>
        <v>WITHDRAWAL</v>
      </c>
      <c r="F30" s="6" t="str">
        <f t="shared" ca="1" si="8"/>
        <v>t2</v>
      </c>
      <c r="G30" s="6">
        <f t="shared" ca="1" si="1"/>
        <v>5.6279010772289588</v>
      </c>
      <c r="H30" s="6">
        <f t="shared" ca="1" si="9"/>
        <v>82.650350943118255</v>
      </c>
      <c r="I30" s="6">
        <f t="shared" ca="1" si="10"/>
        <v>84.693467532481776</v>
      </c>
      <c r="J30" s="6">
        <f t="shared" ca="1" si="11"/>
        <v>78.248200619507216</v>
      </c>
      <c r="K30" s="9">
        <f t="shared" ca="1" si="12"/>
        <v>79.065566455252821</v>
      </c>
      <c r="L30" s="6">
        <f t="shared" ca="1" si="2"/>
        <v>84.693467532481776</v>
      </c>
      <c r="M30" s="6">
        <f t="shared" ca="1" si="13"/>
        <v>0</v>
      </c>
      <c r="N30" s="6">
        <f t="shared" ca="1" si="14"/>
        <v>0</v>
      </c>
      <c r="O30" s="6">
        <f ca="1">COUNTIFS($C$2:C29,"&lt;="&amp;C30,$L$2:L29,"&gt;"&amp;C30)</f>
        <v>1</v>
      </c>
      <c r="P30" s="9">
        <f t="shared" ca="1" si="3"/>
        <v>0</v>
      </c>
      <c r="Q30" s="9">
        <f t="shared" ca="1" si="4"/>
        <v>0</v>
      </c>
      <c r="R30" s="9">
        <f t="shared" ca="1" si="5"/>
        <v>0.81736583574560484</v>
      </c>
      <c r="S30">
        <f t="shared" ca="1" si="15"/>
        <v>0</v>
      </c>
      <c r="T30">
        <f t="shared" ca="1" si="16"/>
        <v>5.6279010772289588</v>
      </c>
      <c r="U30">
        <f t="shared" ca="1" si="17"/>
        <v>0</v>
      </c>
    </row>
    <row r="31" spans="1:21" ht="15" x14ac:dyDescent="0.3">
      <c r="A31" s="6">
        <v>30</v>
      </c>
      <c r="B31" s="6">
        <f t="shared" ca="1" si="6"/>
        <v>0.18875428876439937</v>
      </c>
      <c r="C31" s="9">
        <f t="shared" ca="1" si="7"/>
        <v>79.254320744017221</v>
      </c>
      <c r="D31" s="6">
        <f t="shared" ca="1" si="0"/>
        <v>0.3701956596398589</v>
      </c>
      <c r="E31" s="6" t="str">
        <f ca="1">LOOKUP(RAND(),{0,0.4,0.7,0.9},{"DEPOSIT","WITHDRAWAL","INQUIRY","LOAN"})</f>
        <v>WITHDRAWAL</v>
      </c>
      <c r="F31" s="6" t="str">
        <f t="shared" ca="1" si="8"/>
        <v>t3</v>
      </c>
      <c r="G31" s="6">
        <f t="shared" ca="1" si="1"/>
        <v>5.96234161966236</v>
      </c>
      <c r="H31" s="6">
        <f t="shared" ca="1" si="9"/>
        <v>82.650350943118255</v>
      </c>
      <c r="I31" s="6">
        <f t="shared" ca="1" si="10"/>
        <v>84.693467532481776</v>
      </c>
      <c r="J31" s="6">
        <f t="shared" ca="1" si="11"/>
        <v>85.216662363679575</v>
      </c>
      <c r="K31" s="9">
        <f t="shared" ca="1" si="12"/>
        <v>79.254320744017221</v>
      </c>
      <c r="L31" s="6">
        <f t="shared" ca="1" si="2"/>
        <v>85.216662363679575</v>
      </c>
      <c r="M31" s="6">
        <f t="shared" ca="1" si="13"/>
        <v>0</v>
      </c>
      <c r="N31" s="6">
        <f t="shared" ca="1" si="14"/>
        <v>0</v>
      </c>
      <c r="O31" s="6">
        <f ca="1">COUNTIFS($C$2:C30,"&lt;="&amp;C31,$L$2:L30,"&gt;"&amp;C31)</f>
        <v>2</v>
      </c>
      <c r="P31" s="9">
        <f t="shared" ca="1" si="3"/>
        <v>0</v>
      </c>
      <c r="Q31" s="9">
        <f t="shared" ca="1" si="4"/>
        <v>0</v>
      </c>
      <c r="R31" s="9">
        <f t="shared" ca="1" si="5"/>
        <v>0</v>
      </c>
      <c r="S31">
        <f t="shared" ca="1" si="15"/>
        <v>0</v>
      </c>
      <c r="T31">
        <f t="shared" ca="1" si="16"/>
        <v>0</v>
      </c>
      <c r="U31">
        <f t="shared" ca="1" si="17"/>
        <v>5.96234161966236</v>
      </c>
    </row>
    <row r="32" spans="1:21" ht="15" x14ac:dyDescent="0.3">
      <c r="A32" s="6">
        <v>31</v>
      </c>
      <c r="B32" s="6">
        <f t="shared" ca="1" si="6"/>
        <v>0.83788381788730604</v>
      </c>
      <c r="C32" s="9">
        <f t="shared" ca="1" si="7"/>
        <v>80.092204561904524</v>
      </c>
      <c r="D32" s="6">
        <f t="shared" ca="1" si="0"/>
        <v>0.39169664444289953</v>
      </c>
      <c r="E32" s="6" t="str">
        <f ca="1">LOOKUP(RAND(),{0,0.4,0.7,0.9},{"DEPOSIT","WITHDRAWAL","INQUIRY","LOAN"})</f>
        <v>LOAN</v>
      </c>
      <c r="F32" s="6" t="str">
        <f t="shared" ca="1" si="8"/>
        <v>t1</v>
      </c>
      <c r="G32" s="6">
        <f t="shared" ca="1" si="1"/>
        <v>11.247211259973596</v>
      </c>
      <c r="H32" s="6">
        <f t="shared" ca="1" si="9"/>
        <v>93.897562203091852</v>
      </c>
      <c r="I32" s="6">
        <f t="shared" ca="1" si="10"/>
        <v>84.693467532481776</v>
      </c>
      <c r="J32" s="6">
        <f t="shared" ca="1" si="11"/>
        <v>85.216662363679575</v>
      </c>
      <c r="K32" s="9">
        <f t="shared" ca="1" si="12"/>
        <v>82.650350943118255</v>
      </c>
      <c r="L32" s="6">
        <f t="shared" ca="1" si="2"/>
        <v>93.897562203091852</v>
      </c>
      <c r="M32" s="6">
        <f t="shared" ca="1" si="13"/>
        <v>2.5581463812137315</v>
      </c>
      <c r="N32" s="6">
        <f t="shared" ca="1" si="14"/>
        <v>1</v>
      </c>
      <c r="O32" s="6">
        <f ca="1">COUNTIFS($C$2:C31,"&lt;="&amp;C32,$L$2:L31,"&gt;"&amp;C32)</f>
        <v>3</v>
      </c>
      <c r="P32" s="9">
        <f t="shared" ca="1" si="3"/>
        <v>0</v>
      </c>
      <c r="Q32" s="9">
        <f t="shared" ca="1" si="4"/>
        <v>0</v>
      </c>
      <c r="R32" s="9">
        <f t="shared" ca="1" si="5"/>
        <v>0</v>
      </c>
      <c r="S32">
        <f t="shared" ca="1" si="15"/>
        <v>11.247211259973596</v>
      </c>
      <c r="T32">
        <f t="shared" ca="1" si="16"/>
        <v>0</v>
      </c>
      <c r="U32">
        <f t="shared" ca="1" si="17"/>
        <v>0</v>
      </c>
    </row>
    <row r="33" spans="1:21" ht="15" x14ac:dyDescent="0.3">
      <c r="A33" s="6">
        <v>32</v>
      </c>
      <c r="B33" s="6">
        <f t="shared" ca="1" si="6"/>
        <v>0.70653085166749252</v>
      </c>
      <c r="C33" s="9">
        <f t="shared" ca="1" si="7"/>
        <v>80.798735413572018</v>
      </c>
      <c r="D33" s="6">
        <f t="shared" ca="1" si="0"/>
        <v>0.89731614782995506</v>
      </c>
      <c r="E33" s="6" t="str">
        <f ca="1">LOOKUP(RAND(),{0,0.4,0.7,0.9},{"DEPOSIT","WITHDRAWAL","INQUIRY","LOAN"})</f>
        <v>WITHDRAWAL</v>
      </c>
      <c r="F33" s="6" t="str">
        <f t="shared" ca="1" si="8"/>
        <v>t2</v>
      </c>
      <c r="G33" s="6">
        <f t="shared" ca="1" si="1"/>
        <v>1</v>
      </c>
      <c r="H33" s="6">
        <f t="shared" ca="1" si="9"/>
        <v>93.897562203091852</v>
      </c>
      <c r="I33" s="6">
        <f t="shared" ca="1" si="10"/>
        <v>85.693467532481776</v>
      </c>
      <c r="J33" s="6">
        <f t="shared" ca="1" si="11"/>
        <v>85.216662363679575</v>
      </c>
      <c r="K33" s="9">
        <f t="shared" ca="1" si="12"/>
        <v>84.693467532481776</v>
      </c>
      <c r="L33" s="6">
        <f t="shared" ca="1" si="2"/>
        <v>85.693467532481776</v>
      </c>
      <c r="M33" s="6">
        <f t="shared" ca="1" si="13"/>
        <v>3.8947321189097579</v>
      </c>
      <c r="N33" s="6">
        <f t="shared" ca="1" si="14"/>
        <v>1</v>
      </c>
      <c r="O33" s="6">
        <f ca="1">COUNTIFS($C$2:C32,"&lt;="&amp;C33,$L$2:L32,"&gt;"&amp;C33)</f>
        <v>4</v>
      </c>
      <c r="P33" s="9">
        <f t="shared" ca="1" si="3"/>
        <v>0</v>
      </c>
      <c r="Q33" s="9">
        <f t="shared" ca="1" si="4"/>
        <v>0</v>
      </c>
      <c r="R33" s="9">
        <f t="shared" ca="1" si="5"/>
        <v>0</v>
      </c>
      <c r="S33">
        <f t="shared" ca="1" si="15"/>
        <v>0</v>
      </c>
      <c r="T33">
        <f t="shared" ca="1" si="16"/>
        <v>1</v>
      </c>
      <c r="U33">
        <f t="shared" ca="1" si="17"/>
        <v>0</v>
      </c>
    </row>
    <row r="34" spans="1:21" ht="15" x14ac:dyDescent="0.3">
      <c r="A34" s="6">
        <v>33</v>
      </c>
      <c r="B34" s="6">
        <f t="shared" ca="1" si="6"/>
        <v>0.68051338410361917</v>
      </c>
      <c r="C34" s="9">
        <f t="shared" ca="1" si="7"/>
        <v>81.479248797675638</v>
      </c>
      <c r="D34" s="6">
        <f t="shared" ref="D34:D65" ca="1" si="18">RAND()</f>
        <v>0.48835377554381265</v>
      </c>
      <c r="E34" s="6" t="str">
        <f ca="1">LOOKUP(RAND(),{0,0.4,0.7,0.9},{"DEPOSIT","WITHDRAWAL","INQUIRY","LOAN"})</f>
        <v>LOAN</v>
      </c>
      <c r="F34" s="6" t="str">
        <f t="shared" ca="1" si="8"/>
        <v>t3</v>
      </c>
      <c r="G34" s="6">
        <f t="shared" ref="G34:G65" ca="1" si="19">IF(E34="DEPOSIT",MAX(1,-5*LN(D34)),IF(E34="WITHDRAWAL",MAX(1,-6*LN(D34)),IF(E34="INQUIRY",MAX(1,-4*LN(D34)),MAX(1,-12*LN(D34)))))</f>
        <v>8.6005822307203807</v>
      </c>
      <c r="H34" s="6">
        <f t="shared" ca="1" si="9"/>
        <v>93.897562203091852</v>
      </c>
      <c r="I34" s="6">
        <f t="shared" ca="1" si="10"/>
        <v>85.693467532481776</v>
      </c>
      <c r="J34" s="6">
        <f t="shared" ca="1" si="11"/>
        <v>93.817244594399952</v>
      </c>
      <c r="K34" s="9">
        <f t="shared" ca="1" si="12"/>
        <v>85.216662363679575</v>
      </c>
      <c r="L34" s="6">
        <f t="shared" ref="L34:L65" ca="1" si="20">K34+G34</f>
        <v>93.817244594399952</v>
      </c>
      <c r="M34" s="6">
        <f t="shared" ca="1" si="13"/>
        <v>3.7374135660039371</v>
      </c>
      <c r="N34" s="6">
        <f t="shared" ca="1" si="14"/>
        <v>1</v>
      </c>
      <c r="O34" s="6">
        <f ca="1">COUNTIFS($C$2:C33,"&lt;="&amp;C34,$L$2:L33,"&gt;"&amp;C34)</f>
        <v>5</v>
      </c>
      <c r="P34" s="9">
        <f t="shared" ref="P34:P65" ca="1" si="21">MAX(0,C34-H34)</f>
        <v>0</v>
      </c>
      <c r="Q34" s="9">
        <f t="shared" ref="Q34:Q65" ca="1" si="22">MAX(0,C34-I34)</f>
        <v>0</v>
      </c>
      <c r="R34" s="9">
        <f t="shared" ref="R34:R65" ca="1" si="23">MAX(0,C34-J34)</f>
        <v>0</v>
      </c>
      <c r="S34">
        <f t="shared" ca="1" si="15"/>
        <v>0</v>
      </c>
      <c r="T34">
        <f t="shared" ca="1" si="16"/>
        <v>0</v>
      </c>
      <c r="U34">
        <f t="shared" ca="1" si="17"/>
        <v>8.6005822307203807</v>
      </c>
    </row>
    <row r="35" spans="1:21" ht="15" x14ac:dyDescent="0.3">
      <c r="A35" s="6">
        <v>34</v>
      </c>
      <c r="B35" s="6">
        <f t="shared" ref="B35:B66" ca="1" si="24">-LN(1-RAND())/(25/60)</f>
        <v>5.9486695823764917</v>
      </c>
      <c r="C35" s="9">
        <f t="shared" ref="C35:C66" ca="1" si="25">C34+B35</f>
        <v>87.427918380052134</v>
      </c>
      <c r="D35" s="6">
        <f t="shared" ca="1" si="18"/>
        <v>0.46333952025648995</v>
      </c>
      <c r="E35" s="6" t="str">
        <f ca="1">LOOKUP(RAND(),{0,0.4,0.7,0.9},{"DEPOSIT","WITHDRAWAL","INQUIRY","LOAN"})</f>
        <v>WITHDRAWAL</v>
      </c>
      <c r="F35" s="6" t="str">
        <f t="shared" ref="F35:F66" ca="1" si="26">IF(C35&gt;MAX(H34,I34,J34),"t1",IF(MIN(H34,I34,J34)=H34,"t1",(IF(MIN(H34,I34,J34)=I34,"t2","t3"))))</f>
        <v>t2</v>
      </c>
      <c r="G35" s="6">
        <f t="shared" ca="1" si="19"/>
        <v>4.6157711312585983</v>
      </c>
      <c r="H35" s="6">
        <f t="shared" ref="H35:H66" ca="1" si="27">IF(F35="t1",L35,H34)</f>
        <v>93.897562203091852</v>
      </c>
      <c r="I35" s="6">
        <f t="shared" ref="I35:I66" ca="1" si="28">IF(F35="t2",L35,I34)</f>
        <v>92.043689511310731</v>
      </c>
      <c r="J35" s="6">
        <f t="shared" ref="J35:J66" ca="1" si="29">IF(F35="t3",L35,J34)</f>
        <v>93.817244594399952</v>
      </c>
      <c r="K35" s="9">
        <f t="shared" ref="K35:K66" ca="1" si="30">IF(M35=0,C35,MIN(H34,I34,J34))</f>
        <v>87.427918380052134</v>
      </c>
      <c r="L35" s="6">
        <f t="shared" ca="1" si="20"/>
        <v>92.043689511310731</v>
      </c>
      <c r="M35" s="6">
        <f t="shared" ref="M35:M66" ca="1" si="31">IF(C35&lt;MIN(H34,I34,J34),MIN(H34,I34,J34)-C35,0)</f>
        <v>0</v>
      </c>
      <c r="N35" s="6">
        <f t="shared" ca="1" si="14"/>
        <v>0</v>
      </c>
      <c r="O35" s="6">
        <f ca="1">COUNTIFS($C$2:C34,"&lt;="&amp;C35,$L$2:L34,"&gt;"&amp;C35)</f>
        <v>2</v>
      </c>
      <c r="P35" s="9">
        <f t="shared" ca="1" si="21"/>
        <v>0</v>
      </c>
      <c r="Q35" s="9">
        <f t="shared" ca="1" si="22"/>
        <v>0</v>
      </c>
      <c r="R35" s="9">
        <f t="shared" ca="1" si="23"/>
        <v>0</v>
      </c>
      <c r="S35">
        <f t="shared" ca="1" si="15"/>
        <v>0</v>
      </c>
      <c r="T35">
        <f t="shared" ca="1" si="16"/>
        <v>4.6157711312585983</v>
      </c>
      <c r="U35">
        <f t="shared" ca="1" si="17"/>
        <v>0</v>
      </c>
    </row>
    <row r="36" spans="1:21" ht="15" x14ac:dyDescent="0.3">
      <c r="A36" s="6">
        <v>35</v>
      </c>
      <c r="B36" s="6">
        <f t="shared" ca="1" si="24"/>
        <v>0.71475144416948211</v>
      </c>
      <c r="C36" s="9">
        <f t="shared" ca="1" si="25"/>
        <v>88.142669824221613</v>
      </c>
      <c r="D36" s="6">
        <f t="shared" ca="1" si="18"/>
        <v>0.25498562495239696</v>
      </c>
      <c r="E36" s="6" t="str">
        <f ca="1">LOOKUP(RAND(),{0,0.4,0.7,0.9},{"DEPOSIT","WITHDRAWAL","INQUIRY","LOAN"})</f>
        <v>WITHDRAWAL</v>
      </c>
      <c r="F36" s="6" t="str">
        <f t="shared" ca="1" si="26"/>
        <v>t2</v>
      </c>
      <c r="G36" s="6">
        <f t="shared" ca="1" si="19"/>
        <v>8.1992886488904695</v>
      </c>
      <c r="H36" s="6">
        <f t="shared" ca="1" si="27"/>
        <v>93.897562203091852</v>
      </c>
      <c r="I36" s="6">
        <f t="shared" ca="1" si="28"/>
        <v>100.2429781602012</v>
      </c>
      <c r="J36" s="6">
        <f t="shared" ca="1" si="29"/>
        <v>93.817244594399952</v>
      </c>
      <c r="K36" s="9">
        <f t="shared" ca="1" si="30"/>
        <v>92.043689511310731</v>
      </c>
      <c r="L36" s="6">
        <f t="shared" ca="1" si="20"/>
        <v>100.2429781602012</v>
      </c>
      <c r="M36" s="6">
        <f t="shared" ca="1" si="31"/>
        <v>3.9010196870891178</v>
      </c>
      <c r="N36" s="6">
        <f t="shared" ca="1" si="14"/>
        <v>1</v>
      </c>
      <c r="O36" s="6">
        <f ca="1">COUNTIFS($C$2:C35,"&lt;="&amp;C36,$L$2:L35,"&gt;"&amp;C36)</f>
        <v>3</v>
      </c>
      <c r="P36" s="9">
        <f t="shared" ca="1" si="21"/>
        <v>0</v>
      </c>
      <c r="Q36" s="9">
        <f t="shared" ca="1" si="22"/>
        <v>0</v>
      </c>
      <c r="R36" s="9">
        <f t="shared" ca="1" si="23"/>
        <v>0</v>
      </c>
      <c r="S36">
        <f t="shared" ca="1" si="15"/>
        <v>0</v>
      </c>
      <c r="T36">
        <f t="shared" ca="1" si="16"/>
        <v>8.1992886488904695</v>
      </c>
      <c r="U36">
        <f t="shared" ca="1" si="17"/>
        <v>0</v>
      </c>
    </row>
    <row r="37" spans="1:21" ht="15" x14ac:dyDescent="0.3">
      <c r="A37" s="6">
        <v>36</v>
      </c>
      <c r="B37" s="6">
        <f t="shared" ca="1" si="24"/>
        <v>1.1446748087751781</v>
      </c>
      <c r="C37" s="9">
        <f t="shared" ca="1" si="25"/>
        <v>89.287344632996792</v>
      </c>
      <c r="D37" s="6">
        <f t="shared" ca="1" si="18"/>
        <v>0.67246289674405524</v>
      </c>
      <c r="E37" s="6" t="str">
        <f ca="1">LOOKUP(RAND(),{0,0.4,0.7,0.9},{"DEPOSIT","WITHDRAWAL","INQUIRY","LOAN"})</f>
        <v>INQUIRY</v>
      </c>
      <c r="F37" s="6" t="str">
        <f t="shared" ca="1" si="26"/>
        <v>t3</v>
      </c>
      <c r="G37" s="6">
        <f t="shared" ca="1" si="19"/>
        <v>1.5872333646239185</v>
      </c>
      <c r="H37" s="6">
        <f t="shared" ca="1" si="27"/>
        <v>93.897562203091852</v>
      </c>
      <c r="I37" s="6">
        <f t="shared" ca="1" si="28"/>
        <v>100.2429781602012</v>
      </c>
      <c r="J37" s="6">
        <f t="shared" ca="1" si="29"/>
        <v>95.404477959023865</v>
      </c>
      <c r="K37" s="9">
        <f t="shared" ca="1" si="30"/>
        <v>93.817244594399952</v>
      </c>
      <c r="L37" s="6">
        <f t="shared" ca="1" si="20"/>
        <v>95.404477959023865</v>
      </c>
      <c r="M37" s="6">
        <f t="shared" ca="1" si="31"/>
        <v>4.5298999614031601</v>
      </c>
      <c r="N37" s="6">
        <f t="shared" ca="1" si="14"/>
        <v>1</v>
      </c>
      <c r="O37" s="6">
        <f ca="1">COUNTIFS($C$2:C36,"&lt;="&amp;C37,$L$2:L36,"&gt;"&amp;C37)</f>
        <v>4</v>
      </c>
      <c r="P37" s="9">
        <f t="shared" ca="1" si="21"/>
        <v>0</v>
      </c>
      <c r="Q37" s="9">
        <f t="shared" ca="1" si="22"/>
        <v>0</v>
      </c>
      <c r="R37" s="9">
        <f t="shared" ca="1" si="23"/>
        <v>0</v>
      </c>
      <c r="S37">
        <f t="shared" ca="1" si="15"/>
        <v>0</v>
      </c>
      <c r="T37">
        <f t="shared" ca="1" si="16"/>
        <v>0</v>
      </c>
      <c r="U37">
        <f t="shared" ca="1" si="17"/>
        <v>1.5872333646239185</v>
      </c>
    </row>
    <row r="38" spans="1:21" ht="15" x14ac:dyDescent="0.3">
      <c r="A38" s="6">
        <v>37</v>
      </c>
      <c r="B38" s="6">
        <f t="shared" ca="1" si="24"/>
        <v>1.587695334357951</v>
      </c>
      <c r="C38" s="9">
        <f t="shared" ca="1" si="25"/>
        <v>90.875039967354738</v>
      </c>
      <c r="D38" s="6">
        <f t="shared" ca="1" si="18"/>
        <v>0.27275219657867422</v>
      </c>
      <c r="E38" s="6" t="str">
        <f ca="1">LOOKUP(RAND(),{0,0.4,0.7,0.9},{"DEPOSIT","WITHDRAWAL","INQUIRY","LOAN"})</f>
        <v>DEPOSIT</v>
      </c>
      <c r="F38" s="6" t="str">
        <f t="shared" ca="1" si="26"/>
        <v>t1</v>
      </c>
      <c r="G38" s="6">
        <f t="shared" ca="1" si="19"/>
        <v>6.4959580042535059</v>
      </c>
      <c r="H38" s="6">
        <f t="shared" ca="1" si="27"/>
        <v>100.39352020734536</v>
      </c>
      <c r="I38" s="6">
        <f t="shared" ca="1" si="28"/>
        <v>100.2429781602012</v>
      </c>
      <c r="J38" s="6">
        <f t="shared" ca="1" si="29"/>
        <v>95.404477959023865</v>
      </c>
      <c r="K38" s="9">
        <f t="shared" ca="1" si="30"/>
        <v>93.897562203091852</v>
      </c>
      <c r="L38" s="6">
        <f t="shared" ca="1" si="20"/>
        <v>100.39352020734536</v>
      </c>
      <c r="M38" s="6">
        <f t="shared" ca="1" si="31"/>
        <v>3.0225222357371138</v>
      </c>
      <c r="N38" s="6">
        <f t="shared" ca="1" si="14"/>
        <v>1</v>
      </c>
      <c r="O38" s="6">
        <f ca="1">COUNTIFS($C$2:C37,"&lt;="&amp;C38,$L$2:L37,"&gt;"&amp;C38)</f>
        <v>5</v>
      </c>
      <c r="P38" s="9">
        <f t="shared" ca="1" si="21"/>
        <v>0</v>
      </c>
      <c r="Q38" s="9">
        <f t="shared" ca="1" si="22"/>
        <v>0</v>
      </c>
      <c r="R38" s="9">
        <f t="shared" ca="1" si="23"/>
        <v>0</v>
      </c>
      <c r="S38">
        <f t="shared" ca="1" si="15"/>
        <v>6.4959580042535059</v>
      </c>
      <c r="T38">
        <f t="shared" ca="1" si="16"/>
        <v>0</v>
      </c>
      <c r="U38">
        <f t="shared" ca="1" si="17"/>
        <v>0</v>
      </c>
    </row>
    <row r="39" spans="1:21" ht="15" x14ac:dyDescent="0.3">
      <c r="A39" s="6">
        <v>38</v>
      </c>
      <c r="B39" s="6">
        <f t="shared" ca="1" si="24"/>
        <v>7.6775045657458953</v>
      </c>
      <c r="C39" s="9">
        <f t="shared" ca="1" si="25"/>
        <v>98.55254453310063</v>
      </c>
      <c r="D39" s="6">
        <f t="shared" ca="1" si="18"/>
        <v>0.71956741792221124</v>
      </c>
      <c r="E39" s="6" t="str">
        <f ca="1">LOOKUP(RAND(),{0,0.4,0.7,0.9},{"DEPOSIT","WITHDRAWAL","INQUIRY","LOAN"})</f>
        <v>DEPOSIT</v>
      </c>
      <c r="F39" s="6" t="str">
        <f t="shared" ca="1" si="26"/>
        <v>t3</v>
      </c>
      <c r="G39" s="6">
        <f t="shared" ca="1" si="19"/>
        <v>1.645525279855625</v>
      </c>
      <c r="H39" s="6">
        <f t="shared" ca="1" si="27"/>
        <v>100.39352020734536</v>
      </c>
      <c r="I39" s="6">
        <f t="shared" ca="1" si="28"/>
        <v>100.2429781602012</v>
      </c>
      <c r="J39" s="6">
        <f t="shared" ca="1" si="29"/>
        <v>100.19806981295625</v>
      </c>
      <c r="K39" s="9">
        <f t="shared" ca="1" si="30"/>
        <v>98.55254453310063</v>
      </c>
      <c r="L39" s="6">
        <f t="shared" ca="1" si="20"/>
        <v>100.19806981295625</v>
      </c>
      <c r="M39" s="6">
        <f t="shared" ca="1" si="31"/>
        <v>0</v>
      </c>
      <c r="N39" s="6">
        <f t="shared" ca="1" si="14"/>
        <v>0</v>
      </c>
      <c r="O39" s="6">
        <f ca="1">COUNTIFS($C$2:C38,"&lt;="&amp;C39,$L$2:L38,"&gt;"&amp;C39)</f>
        <v>2</v>
      </c>
      <c r="P39" s="9">
        <f t="shared" ca="1" si="21"/>
        <v>0</v>
      </c>
      <c r="Q39" s="9">
        <f t="shared" ca="1" si="22"/>
        <v>0</v>
      </c>
      <c r="R39" s="9">
        <f t="shared" ca="1" si="23"/>
        <v>0</v>
      </c>
      <c r="S39">
        <f t="shared" ca="1" si="15"/>
        <v>0</v>
      </c>
      <c r="T39">
        <f t="shared" ca="1" si="16"/>
        <v>0</v>
      </c>
      <c r="U39">
        <f t="shared" ca="1" si="17"/>
        <v>1.645525279855625</v>
      </c>
    </row>
    <row r="40" spans="1:21" ht="15" x14ac:dyDescent="0.3">
      <c r="A40" s="6">
        <v>39</v>
      </c>
      <c r="B40" s="6">
        <f t="shared" ca="1" si="24"/>
        <v>1.1681577888406605</v>
      </c>
      <c r="C40" s="9">
        <f t="shared" ca="1" si="25"/>
        <v>99.720702321941289</v>
      </c>
      <c r="D40" s="6">
        <f t="shared" ca="1" si="18"/>
        <v>3.9087387122593853E-2</v>
      </c>
      <c r="E40" s="6" t="str">
        <f ca="1">LOOKUP(RAND(),{0,0.4,0.7,0.9},{"DEPOSIT","WITHDRAWAL","INQUIRY","LOAN"})</f>
        <v>INQUIRY</v>
      </c>
      <c r="F40" s="6" t="str">
        <f t="shared" ca="1" si="26"/>
        <v>t3</v>
      </c>
      <c r="G40" s="6">
        <f t="shared" ca="1" si="19"/>
        <v>12.967821776062976</v>
      </c>
      <c r="H40" s="6">
        <f t="shared" ca="1" si="27"/>
        <v>100.39352020734536</v>
      </c>
      <c r="I40" s="6">
        <f t="shared" ca="1" si="28"/>
        <v>100.2429781602012</v>
      </c>
      <c r="J40" s="6">
        <f t="shared" ca="1" si="29"/>
        <v>113.16589158901922</v>
      </c>
      <c r="K40" s="9">
        <f t="shared" ca="1" si="30"/>
        <v>100.19806981295625</v>
      </c>
      <c r="L40" s="6">
        <f t="shared" ca="1" si="20"/>
        <v>113.16589158901922</v>
      </c>
      <c r="M40" s="6">
        <f t="shared" ca="1" si="31"/>
        <v>0.47736749101495946</v>
      </c>
      <c r="N40" s="6">
        <f t="shared" ca="1" si="14"/>
        <v>1</v>
      </c>
      <c r="O40" s="6">
        <f ca="1">COUNTIFS($C$2:C39,"&lt;="&amp;C40,$L$2:L39,"&gt;"&amp;C40)</f>
        <v>3</v>
      </c>
      <c r="P40" s="9">
        <f t="shared" ca="1" si="21"/>
        <v>0</v>
      </c>
      <c r="Q40" s="9">
        <f t="shared" ca="1" si="22"/>
        <v>0</v>
      </c>
      <c r="R40" s="9">
        <f t="shared" ca="1" si="23"/>
        <v>0</v>
      </c>
      <c r="S40">
        <f t="shared" ca="1" si="15"/>
        <v>0</v>
      </c>
      <c r="T40">
        <f t="shared" ca="1" si="16"/>
        <v>0</v>
      </c>
      <c r="U40">
        <f t="shared" ca="1" si="17"/>
        <v>12.967821776062976</v>
      </c>
    </row>
    <row r="41" spans="1:21" ht="15" x14ac:dyDescent="0.3">
      <c r="A41" s="6">
        <v>40</v>
      </c>
      <c r="B41" s="6">
        <f t="shared" ca="1" si="24"/>
        <v>3.1907115768541559</v>
      </c>
      <c r="C41" s="9">
        <f t="shared" ca="1" si="25"/>
        <v>102.91141389879544</v>
      </c>
      <c r="D41" s="6">
        <f t="shared" ca="1" si="18"/>
        <v>0.12017535752510833</v>
      </c>
      <c r="E41" s="6" t="str">
        <f ca="1">LOOKUP(RAND(),{0,0.4,0.7,0.9},{"DEPOSIT","WITHDRAWAL","INQUIRY","LOAN"})</f>
        <v>INQUIRY</v>
      </c>
      <c r="F41" s="6" t="str">
        <f t="shared" ca="1" si="26"/>
        <v>t2</v>
      </c>
      <c r="G41" s="6">
        <f t="shared" ca="1" si="19"/>
        <v>8.4752131606769261</v>
      </c>
      <c r="H41" s="6">
        <f t="shared" ca="1" si="27"/>
        <v>100.39352020734536</v>
      </c>
      <c r="I41" s="6">
        <f t="shared" ca="1" si="28"/>
        <v>111.38662705947237</v>
      </c>
      <c r="J41" s="6">
        <f t="shared" ca="1" si="29"/>
        <v>113.16589158901922</v>
      </c>
      <c r="K41" s="9">
        <f t="shared" ca="1" si="30"/>
        <v>102.91141389879544</v>
      </c>
      <c r="L41" s="6">
        <f t="shared" ca="1" si="20"/>
        <v>111.38662705947237</v>
      </c>
      <c r="M41" s="6">
        <f t="shared" ca="1" si="31"/>
        <v>0</v>
      </c>
      <c r="N41" s="6">
        <f t="shared" ca="1" si="14"/>
        <v>0</v>
      </c>
      <c r="O41" s="6">
        <f ca="1">COUNTIFS($C$2:C40,"&lt;="&amp;C41,$L$2:L40,"&gt;"&amp;C41)</f>
        <v>1</v>
      </c>
      <c r="P41" s="9">
        <f t="shared" ca="1" si="21"/>
        <v>2.5178936914500838</v>
      </c>
      <c r="Q41" s="9">
        <f t="shared" ca="1" si="22"/>
        <v>0</v>
      </c>
      <c r="R41" s="9">
        <f t="shared" ca="1" si="23"/>
        <v>0</v>
      </c>
      <c r="S41">
        <f t="shared" ca="1" si="15"/>
        <v>0</v>
      </c>
      <c r="T41">
        <f t="shared" ca="1" si="16"/>
        <v>8.4752131606769261</v>
      </c>
      <c r="U41">
        <f t="shared" ca="1" si="17"/>
        <v>0</v>
      </c>
    </row>
    <row r="42" spans="1:21" ht="15" x14ac:dyDescent="0.3">
      <c r="A42" s="6">
        <v>41</v>
      </c>
      <c r="B42" s="6">
        <f t="shared" ca="1" si="24"/>
        <v>0.41362489176873252</v>
      </c>
      <c r="C42" s="9">
        <f t="shared" ca="1" si="25"/>
        <v>103.32503879056418</v>
      </c>
      <c r="D42" s="6">
        <f t="shared" ca="1" si="18"/>
        <v>0.44647349806275516</v>
      </c>
      <c r="E42" s="6" t="str">
        <f ca="1">LOOKUP(RAND(),{0,0.4,0.7,0.9},{"DEPOSIT","WITHDRAWAL","INQUIRY","LOAN"})</f>
        <v>WITHDRAWAL</v>
      </c>
      <c r="F42" s="6" t="str">
        <f t="shared" ca="1" si="26"/>
        <v>t1</v>
      </c>
      <c r="G42" s="6">
        <f t="shared" ca="1" si="19"/>
        <v>4.838251411618832</v>
      </c>
      <c r="H42" s="6">
        <f t="shared" ca="1" si="27"/>
        <v>108.16329020218301</v>
      </c>
      <c r="I42" s="6">
        <f t="shared" ca="1" si="28"/>
        <v>111.38662705947237</v>
      </c>
      <c r="J42" s="6">
        <f t="shared" ca="1" si="29"/>
        <v>113.16589158901922</v>
      </c>
      <c r="K42" s="9">
        <f t="shared" ca="1" si="30"/>
        <v>103.32503879056418</v>
      </c>
      <c r="L42" s="6">
        <f t="shared" ca="1" si="20"/>
        <v>108.16329020218301</v>
      </c>
      <c r="M42" s="6">
        <f t="shared" ca="1" si="31"/>
        <v>0</v>
      </c>
      <c r="N42" s="6">
        <f t="shared" ca="1" si="14"/>
        <v>0</v>
      </c>
      <c r="O42" s="6">
        <f ca="1">COUNTIFS($C$2:C41,"&lt;="&amp;C42,$L$2:L41,"&gt;"&amp;C42)</f>
        <v>2</v>
      </c>
      <c r="P42" s="9">
        <f t="shared" ca="1" si="21"/>
        <v>0</v>
      </c>
      <c r="Q42" s="9">
        <f t="shared" ca="1" si="22"/>
        <v>0</v>
      </c>
      <c r="R42" s="9">
        <f t="shared" ca="1" si="23"/>
        <v>0</v>
      </c>
      <c r="S42">
        <f t="shared" ca="1" si="15"/>
        <v>4.838251411618832</v>
      </c>
      <c r="T42">
        <f t="shared" ca="1" si="16"/>
        <v>0</v>
      </c>
      <c r="U42">
        <f t="shared" ca="1" si="17"/>
        <v>0</v>
      </c>
    </row>
    <row r="43" spans="1:21" ht="15" x14ac:dyDescent="0.3">
      <c r="A43" s="6">
        <v>42</v>
      </c>
      <c r="B43" s="6">
        <f t="shared" ca="1" si="24"/>
        <v>3.7958090160840294</v>
      </c>
      <c r="C43" s="9">
        <f t="shared" ca="1" si="25"/>
        <v>107.12084780664821</v>
      </c>
      <c r="D43" s="6">
        <f t="shared" ca="1" si="18"/>
        <v>0.4852662011876957</v>
      </c>
      <c r="E43" s="6" t="str">
        <f ca="1">LOOKUP(RAND(),{0,0.4,0.7,0.9},{"DEPOSIT","WITHDRAWAL","INQUIRY","LOAN"})</f>
        <v>WITHDRAWAL</v>
      </c>
      <c r="F43" s="6" t="str">
        <f t="shared" ca="1" si="26"/>
        <v>t1</v>
      </c>
      <c r="G43" s="6">
        <f t="shared" ca="1" si="19"/>
        <v>4.3383460211375819</v>
      </c>
      <c r="H43" s="6">
        <f t="shared" ca="1" si="27"/>
        <v>112.50163622332059</v>
      </c>
      <c r="I43" s="6">
        <f t="shared" ca="1" si="28"/>
        <v>111.38662705947237</v>
      </c>
      <c r="J43" s="6">
        <f t="shared" ca="1" si="29"/>
        <v>113.16589158901922</v>
      </c>
      <c r="K43" s="9">
        <f t="shared" ca="1" si="30"/>
        <v>108.16329020218301</v>
      </c>
      <c r="L43" s="6">
        <f t="shared" ca="1" si="20"/>
        <v>112.50163622332059</v>
      </c>
      <c r="M43" s="6">
        <f t="shared" ca="1" si="31"/>
        <v>1.0424423955347919</v>
      </c>
      <c r="N43" s="6">
        <f t="shared" ca="1" si="14"/>
        <v>1</v>
      </c>
      <c r="O43" s="6">
        <f ca="1">COUNTIFS($C$2:C42,"&lt;="&amp;C43,$L$2:L42,"&gt;"&amp;C43)</f>
        <v>3</v>
      </c>
      <c r="P43" s="9">
        <f t="shared" ca="1" si="21"/>
        <v>0</v>
      </c>
      <c r="Q43" s="9">
        <f t="shared" ca="1" si="22"/>
        <v>0</v>
      </c>
      <c r="R43" s="9">
        <f t="shared" ca="1" si="23"/>
        <v>0</v>
      </c>
      <c r="S43">
        <f t="shared" ca="1" si="15"/>
        <v>4.3383460211375819</v>
      </c>
      <c r="T43">
        <f t="shared" ca="1" si="16"/>
        <v>0</v>
      </c>
      <c r="U43">
        <f t="shared" ca="1" si="17"/>
        <v>0</v>
      </c>
    </row>
    <row r="44" spans="1:21" ht="15" x14ac:dyDescent="0.3">
      <c r="A44" s="6">
        <v>43</v>
      </c>
      <c r="B44" s="6">
        <f t="shared" ca="1" si="24"/>
        <v>1.008155970278396</v>
      </c>
      <c r="C44" s="9">
        <f t="shared" ca="1" si="25"/>
        <v>108.12900377692661</v>
      </c>
      <c r="D44" s="6">
        <f t="shared" ca="1" si="18"/>
        <v>0.1834113857286841</v>
      </c>
      <c r="E44" s="6" t="str">
        <f ca="1">LOOKUP(RAND(),{0,0.4,0.7,0.9},{"DEPOSIT","WITHDRAWAL","INQUIRY","LOAN"})</f>
        <v>DEPOSIT</v>
      </c>
      <c r="F44" s="6" t="str">
        <f t="shared" ca="1" si="26"/>
        <v>t2</v>
      </c>
      <c r="G44" s="6">
        <f t="shared" ca="1" si="19"/>
        <v>8.4801181984357843</v>
      </c>
      <c r="H44" s="6">
        <f t="shared" ca="1" si="27"/>
        <v>112.50163622332059</v>
      </c>
      <c r="I44" s="6">
        <f t="shared" ca="1" si="28"/>
        <v>119.86674525790816</v>
      </c>
      <c r="J44" s="6">
        <f t="shared" ca="1" si="29"/>
        <v>113.16589158901922</v>
      </c>
      <c r="K44" s="9">
        <f t="shared" ca="1" si="30"/>
        <v>111.38662705947237</v>
      </c>
      <c r="L44" s="6">
        <f t="shared" ca="1" si="20"/>
        <v>119.86674525790816</v>
      </c>
      <c r="M44" s="6">
        <f t="shared" ca="1" si="31"/>
        <v>3.2576232825457652</v>
      </c>
      <c r="N44" s="6">
        <f t="shared" ca="1" si="14"/>
        <v>1</v>
      </c>
      <c r="O44" s="6">
        <f ca="1">COUNTIFS($C$2:C43,"&lt;="&amp;C44,$L$2:L43,"&gt;"&amp;C44)</f>
        <v>4</v>
      </c>
      <c r="P44" s="9">
        <f t="shared" ca="1" si="21"/>
        <v>0</v>
      </c>
      <c r="Q44" s="9">
        <f t="shared" ca="1" si="22"/>
        <v>0</v>
      </c>
      <c r="R44" s="9">
        <f t="shared" ca="1" si="23"/>
        <v>0</v>
      </c>
      <c r="S44">
        <f t="shared" ca="1" si="15"/>
        <v>0</v>
      </c>
      <c r="T44">
        <f t="shared" ca="1" si="16"/>
        <v>8.4801181984357843</v>
      </c>
      <c r="U44">
        <f t="shared" ca="1" si="17"/>
        <v>0</v>
      </c>
    </row>
    <row r="45" spans="1:21" ht="15" x14ac:dyDescent="0.3">
      <c r="A45" s="6">
        <v>44</v>
      </c>
      <c r="B45" s="6">
        <f t="shared" ca="1" si="24"/>
        <v>2.9825590260749695</v>
      </c>
      <c r="C45" s="9">
        <f t="shared" ca="1" si="25"/>
        <v>111.11156280300158</v>
      </c>
      <c r="D45" s="6">
        <f t="shared" ca="1" si="18"/>
        <v>0.68679953044635356</v>
      </c>
      <c r="E45" s="6" t="str">
        <f ca="1">LOOKUP(RAND(),{0,0.4,0.7,0.9},{"DEPOSIT","WITHDRAWAL","INQUIRY","LOAN"})</f>
        <v>DEPOSIT</v>
      </c>
      <c r="F45" s="6" t="str">
        <f t="shared" ca="1" si="26"/>
        <v>t1</v>
      </c>
      <c r="G45" s="6">
        <f t="shared" ca="1" si="19"/>
        <v>1.8785641682114314</v>
      </c>
      <c r="H45" s="6">
        <f t="shared" ca="1" si="27"/>
        <v>114.38020039153201</v>
      </c>
      <c r="I45" s="6">
        <f t="shared" ca="1" si="28"/>
        <v>119.86674525790816</v>
      </c>
      <c r="J45" s="6">
        <f t="shared" ca="1" si="29"/>
        <v>113.16589158901922</v>
      </c>
      <c r="K45" s="9">
        <f t="shared" ca="1" si="30"/>
        <v>112.50163622332059</v>
      </c>
      <c r="L45" s="6">
        <f t="shared" ca="1" si="20"/>
        <v>114.38020039153201</v>
      </c>
      <c r="M45" s="6">
        <f t="shared" ca="1" si="31"/>
        <v>1.3900734203190126</v>
      </c>
      <c r="N45" s="6">
        <f t="shared" ca="1" si="14"/>
        <v>1</v>
      </c>
      <c r="O45" s="6">
        <f ca="1">COUNTIFS($C$2:C44,"&lt;="&amp;C45,$L$2:L44,"&gt;"&amp;C45)</f>
        <v>4</v>
      </c>
      <c r="P45" s="9">
        <f t="shared" ca="1" si="21"/>
        <v>0</v>
      </c>
      <c r="Q45" s="9">
        <f t="shared" ca="1" si="22"/>
        <v>0</v>
      </c>
      <c r="R45" s="9">
        <f t="shared" ca="1" si="23"/>
        <v>0</v>
      </c>
      <c r="S45">
        <f t="shared" ca="1" si="15"/>
        <v>1.8785641682114314</v>
      </c>
      <c r="T45">
        <f t="shared" ca="1" si="16"/>
        <v>0</v>
      </c>
      <c r="U45">
        <f t="shared" ca="1" si="17"/>
        <v>0</v>
      </c>
    </row>
    <row r="46" spans="1:21" ht="15" x14ac:dyDescent="0.3">
      <c r="A46" s="6">
        <v>45</v>
      </c>
      <c r="B46" s="6">
        <f t="shared" ca="1" si="24"/>
        <v>3.0920419120775855</v>
      </c>
      <c r="C46" s="9">
        <f t="shared" ca="1" si="25"/>
        <v>114.20360471507917</v>
      </c>
      <c r="D46" s="6">
        <f t="shared" ca="1" si="18"/>
        <v>0.25307637315122</v>
      </c>
      <c r="E46" s="6" t="str">
        <f ca="1">LOOKUP(RAND(),{0,0.4,0.7,0.9},{"DEPOSIT","WITHDRAWAL","INQUIRY","LOAN"})</f>
        <v>WITHDRAWAL</v>
      </c>
      <c r="F46" s="6" t="str">
        <f t="shared" ca="1" si="26"/>
        <v>t3</v>
      </c>
      <c r="G46" s="6">
        <f t="shared" ca="1" si="19"/>
        <v>8.2443837938719327</v>
      </c>
      <c r="H46" s="6">
        <f t="shared" ca="1" si="27"/>
        <v>114.38020039153201</v>
      </c>
      <c r="I46" s="6">
        <f t="shared" ca="1" si="28"/>
        <v>119.86674525790816</v>
      </c>
      <c r="J46" s="6">
        <f t="shared" ca="1" si="29"/>
        <v>122.4479885089511</v>
      </c>
      <c r="K46" s="9">
        <f t="shared" ca="1" si="30"/>
        <v>114.20360471507917</v>
      </c>
      <c r="L46" s="6">
        <f t="shared" ca="1" si="20"/>
        <v>122.4479885089511</v>
      </c>
      <c r="M46" s="6">
        <f t="shared" ca="1" si="31"/>
        <v>0</v>
      </c>
      <c r="N46" s="6">
        <f t="shared" ca="1" si="14"/>
        <v>0</v>
      </c>
      <c r="O46" s="6">
        <f ca="1">COUNTIFS($C$2:C45,"&lt;="&amp;C46,$L$2:L45,"&gt;"&amp;C46)</f>
        <v>2</v>
      </c>
      <c r="P46" s="9">
        <f t="shared" ca="1" si="21"/>
        <v>0</v>
      </c>
      <c r="Q46" s="9">
        <f t="shared" ca="1" si="22"/>
        <v>0</v>
      </c>
      <c r="R46" s="9">
        <f t="shared" ca="1" si="23"/>
        <v>0</v>
      </c>
      <c r="S46">
        <f t="shared" ca="1" si="15"/>
        <v>0</v>
      </c>
      <c r="T46">
        <f t="shared" ca="1" si="16"/>
        <v>0</v>
      </c>
      <c r="U46">
        <f t="shared" ca="1" si="17"/>
        <v>8.2443837938719327</v>
      </c>
    </row>
    <row r="47" spans="1:21" ht="15" x14ac:dyDescent="0.3">
      <c r="A47" s="6">
        <v>46</v>
      </c>
      <c r="B47" s="6">
        <f t="shared" ca="1" si="24"/>
        <v>7.3150929146353558</v>
      </c>
      <c r="C47" s="9">
        <f t="shared" ca="1" si="25"/>
        <v>121.51869762971452</v>
      </c>
      <c r="D47" s="6">
        <f t="shared" ca="1" si="18"/>
        <v>0.95953096648090719</v>
      </c>
      <c r="E47" s="6" t="str">
        <f ca="1">LOOKUP(RAND(),{0,0.4,0.7,0.9},{"DEPOSIT","WITHDRAWAL","INQUIRY","LOAN"})</f>
        <v>DEPOSIT</v>
      </c>
      <c r="F47" s="6" t="str">
        <f t="shared" ca="1" si="26"/>
        <v>t1</v>
      </c>
      <c r="G47" s="6">
        <f t="shared" ca="1" si="19"/>
        <v>1</v>
      </c>
      <c r="H47" s="6">
        <f t="shared" ca="1" si="27"/>
        <v>122.51869762971452</v>
      </c>
      <c r="I47" s="6">
        <f t="shared" ca="1" si="28"/>
        <v>119.86674525790816</v>
      </c>
      <c r="J47" s="6">
        <f t="shared" ca="1" si="29"/>
        <v>122.4479885089511</v>
      </c>
      <c r="K47" s="9">
        <f t="shared" ca="1" si="30"/>
        <v>121.51869762971452</v>
      </c>
      <c r="L47" s="6">
        <f t="shared" ca="1" si="20"/>
        <v>122.51869762971452</v>
      </c>
      <c r="M47" s="6">
        <f t="shared" ca="1" si="31"/>
        <v>0</v>
      </c>
      <c r="N47" s="6">
        <f t="shared" ca="1" si="14"/>
        <v>0</v>
      </c>
      <c r="O47" s="6">
        <f ca="1">COUNTIFS($C$2:C46,"&lt;="&amp;C47,$L$2:L46,"&gt;"&amp;C47)</f>
        <v>1</v>
      </c>
      <c r="P47" s="9">
        <f t="shared" ca="1" si="21"/>
        <v>0</v>
      </c>
      <c r="Q47" s="9">
        <f t="shared" ca="1" si="22"/>
        <v>1.6519523718063596</v>
      </c>
      <c r="R47" s="9">
        <f t="shared" ca="1" si="23"/>
        <v>0</v>
      </c>
      <c r="S47">
        <f t="shared" ca="1" si="15"/>
        <v>1</v>
      </c>
      <c r="T47">
        <f t="shared" ca="1" si="16"/>
        <v>0</v>
      </c>
      <c r="U47">
        <f t="shared" ca="1" si="17"/>
        <v>0</v>
      </c>
    </row>
    <row r="48" spans="1:21" ht="15" x14ac:dyDescent="0.3">
      <c r="A48" s="6">
        <v>47</v>
      </c>
      <c r="B48" s="6">
        <f t="shared" ca="1" si="24"/>
        <v>0.9028011556573865</v>
      </c>
      <c r="C48" s="9">
        <f t="shared" ca="1" si="25"/>
        <v>122.42149878537191</v>
      </c>
      <c r="D48" s="6">
        <f t="shared" ca="1" si="18"/>
        <v>0.18919980675084036</v>
      </c>
      <c r="E48" s="6" t="str">
        <f ca="1">LOOKUP(RAND(),{0,0.4,0.7,0.9},{"DEPOSIT","WITHDRAWAL","INQUIRY","LOAN"})</f>
        <v>WITHDRAWAL</v>
      </c>
      <c r="F48" s="6" t="str">
        <f t="shared" ca="1" si="26"/>
        <v>t2</v>
      </c>
      <c r="G48" s="6">
        <f t="shared" ca="1" si="19"/>
        <v>9.9897098625981524</v>
      </c>
      <c r="H48" s="6">
        <f t="shared" ca="1" si="27"/>
        <v>122.51869762971452</v>
      </c>
      <c r="I48" s="6">
        <f t="shared" ca="1" si="28"/>
        <v>132.41120864797006</v>
      </c>
      <c r="J48" s="6">
        <f t="shared" ca="1" si="29"/>
        <v>122.4479885089511</v>
      </c>
      <c r="K48" s="9">
        <f t="shared" ca="1" si="30"/>
        <v>122.42149878537191</v>
      </c>
      <c r="L48" s="6">
        <f t="shared" ca="1" si="20"/>
        <v>132.41120864797006</v>
      </c>
      <c r="M48" s="6">
        <f t="shared" ca="1" si="31"/>
        <v>0</v>
      </c>
      <c r="N48" s="6">
        <f t="shared" ca="1" si="14"/>
        <v>0</v>
      </c>
      <c r="O48" s="6">
        <f ca="1">COUNTIFS($C$2:C47,"&lt;="&amp;C48,$L$2:L47,"&gt;"&amp;C48)</f>
        <v>2</v>
      </c>
      <c r="P48" s="9">
        <f t="shared" ca="1" si="21"/>
        <v>0</v>
      </c>
      <c r="Q48" s="9">
        <f t="shared" ca="1" si="22"/>
        <v>0</v>
      </c>
      <c r="R48" s="9">
        <f t="shared" ca="1" si="23"/>
        <v>0</v>
      </c>
      <c r="S48">
        <f t="shared" ca="1" si="15"/>
        <v>0</v>
      </c>
      <c r="T48">
        <f t="shared" ca="1" si="16"/>
        <v>9.9897098625981524</v>
      </c>
      <c r="U48">
        <f t="shared" ca="1" si="17"/>
        <v>0</v>
      </c>
    </row>
    <row r="49" spans="1:21" ht="15" x14ac:dyDescent="0.3">
      <c r="A49" s="6">
        <v>48</v>
      </c>
      <c r="B49" s="6">
        <f t="shared" ca="1" si="24"/>
        <v>2.4239452428951966</v>
      </c>
      <c r="C49" s="9">
        <f t="shared" ca="1" si="25"/>
        <v>124.84544402826711</v>
      </c>
      <c r="D49" s="6">
        <f t="shared" ca="1" si="18"/>
        <v>0.3583363496751818</v>
      </c>
      <c r="E49" s="6" t="str">
        <f ca="1">LOOKUP(RAND(),{0,0.4,0.7,0.9},{"DEPOSIT","WITHDRAWAL","INQUIRY","LOAN"})</f>
        <v>DEPOSIT</v>
      </c>
      <c r="F49" s="6" t="str">
        <f t="shared" ca="1" si="26"/>
        <v>t3</v>
      </c>
      <c r="G49" s="6">
        <f t="shared" ca="1" si="19"/>
        <v>5.1314160471286518</v>
      </c>
      <c r="H49" s="6">
        <f t="shared" ca="1" si="27"/>
        <v>122.51869762971452</v>
      </c>
      <c r="I49" s="6">
        <f t="shared" ca="1" si="28"/>
        <v>132.41120864797006</v>
      </c>
      <c r="J49" s="6">
        <f t="shared" ca="1" si="29"/>
        <v>129.97686007539576</v>
      </c>
      <c r="K49" s="9">
        <f t="shared" ca="1" si="30"/>
        <v>124.84544402826711</v>
      </c>
      <c r="L49" s="6">
        <f t="shared" ca="1" si="20"/>
        <v>129.97686007539576</v>
      </c>
      <c r="M49" s="6">
        <f t="shared" ca="1" si="31"/>
        <v>0</v>
      </c>
      <c r="N49" s="6">
        <f t="shared" ca="1" si="14"/>
        <v>0</v>
      </c>
      <c r="O49" s="6">
        <f ca="1">COUNTIFS($C$2:C48,"&lt;="&amp;C49,$L$2:L48,"&gt;"&amp;C49)</f>
        <v>1</v>
      </c>
      <c r="P49" s="9">
        <f t="shared" ca="1" si="21"/>
        <v>2.3267463985525865</v>
      </c>
      <c r="Q49" s="9">
        <f t="shared" ca="1" si="22"/>
        <v>0</v>
      </c>
      <c r="R49" s="9">
        <f t="shared" ca="1" si="23"/>
        <v>0</v>
      </c>
      <c r="S49">
        <f t="shared" ca="1" si="15"/>
        <v>0</v>
      </c>
      <c r="T49">
        <f t="shared" ca="1" si="16"/>
        <v>0</v>
      </c>
      <c r="U49">
        <f t="shared" ca="1" si="17"/>
        <v>5.1314160471286518</v>
      </c>
    </row>
    <row r="50" spans="1:21" ht="15" x14ac:dyDescent="0.3">
      <c r="A50" s="6">
        <v>49</v>
      </c>
      <c r="B50" s="6">
        <f t="shared" ca="1" si="24"/>
        <v>1.4835676510444811</v>
      </c>
      <c r="C50" s="9">
        <f t="shared" ca="1" si="25"/>
        <v>126.32901167931159</v>
      </c>
      <c r="D50" s="6">
        <f t="shared" ca="1" si="18"/>
        <v>0.61888444550753863</v>
      </c>
      <c r="E50" s="6" t="str">
        <f ca="1">LOOKUP(RAND(),{0,0.4,0.7,0.9},{"DEPOSIT","WITHDRAWAL","INQUIRY","LOAN"})</f>
        <v>WITHDRAWAL</v>
      </c>
      <c r="F50" s="6" t="str">
        <f t="shared" ca="1" si="26"/>
        <v>t1</v>
      </c>
      <c r="G50" s="6">
        <f t="shared" ca="1" si="19"/>
        <v>2.8790202182015978</v>
      </c>
      <c r="H50" s="6">
        <f t="shared" ca="1" si="27"/>
        <v>129.20803189751319</v>
      </c>
      <c r="I50" s="6">
        <f t="shared" ca="1" si="28"/>
        <v>132.41120864797006</v>
      </c>
      <c r="J50" s="6">
        <f t="shared" ca="1" si="29"/>
        <v>129.97686007539576</v>
      </c>
      <c r="K50" s="9">
        <f t="shared" ca="1" si="30"/>
        <v>126.32901167931159</v>
      </c>
      <c r="L50" s="6">
        <f t="shared" ca="1" si="20"/>
        <v>129.20803189751319</v>
      </c>
      <c r="M50" s="6">
        <f t="shared" ca="1" si="31"/>
        <v>0</v>
      </c>
      <c r="N50" s="6">
        <f t="shared" ca="1" si="14"/>
        <v>0</v>
      </c>
      <c r="O50" s="6">
        <f ca="1">COUNTIFS($C$2:C49,"&lt;="&amp;C50,$L$2:L49,"&gt;"&amp;C50)</f>
        <v>2</v>
      </c>
      <c r="P50" s="9">
        <f t="shared" ca="1" si="21"/>
        <v>0</v>
      </c>
      <c r="Q50" s="9">
        <f t="shared" ca="1" si="22"/>
        <v>0</v>
      </c>
      <c r="R50" s="9">
        <f t="shared" ca="1" si="23"/>
        <v>0</v>
      </c>
      <c r="S50">
        <f t="shared" ca="1" si="15"/>
        <v>2.8790202182015978</v>
      </c>
      <c r="T50">
        <f t="shared" ca="1" si="16"/>
        <v>0</v>
      </c>
      <c r="U50">
        <f t="shared" ca="1" si="17"/>
        <v>0</v>
      </c>
    </row>
    <row r="51" spans="1:21" ht="15" x14ac:dyDescent="0.3">
      <c r="A51" s="6">
        <v>50</v>
      </c>
      <c r="B51" s="6">
        <f t="shared" ca="1" si="24"/>
        <v>4.6225579799680618</v>
      </c>
      <c r="C51" s="9">
        <f t="shared" ca="1" si="25"/>
        <v>130.95156965927964</v>
      </c>
      <c r="D51" s="6">
        <f t="shared" ca="1" si="18"/>
        <v>0.20136133205888196</v>
      </c>
      <c r="E51" s="6" t="str">
        <f ca="1">LOOKUP(RAND(),{0,0.4,0.7,0.9},{"DEPOSIT","WITHDRAWAL","INQUIRY","LOAN"})</f>
        <v>DEPOSIT</v>
      </c>
      <c r="F51" s="6" t="str">
        <f t="shared" ca="1" si="26"/>
        <v>t1</v>
      </c>
      <c r="G51" s="6">
        <f t="shared" ca="1" si="19"/>
        <v>8.013271564333289</v>
      </c>
      <c r="H51" s="6">
        <f t="shared" ca="1" si="27"/>
        <v>138.96484122361292</v>
      </c>
      <c r="I51" s="6">
        <f t="shared" ca="1" si="28"/>
        <v>132.41120864797006</v>
      </c>
      <c r="J51" s="6">
        <f t="shared" ca="1" si="29"/>
        <v>129.97686007539576</v>
      </c>
      <c r="K51" s="9">
        <f t="shared" ca="1" si="30"/>
        <v>130.95156965927964</v>
      </c>
      <c r="L51" s="6">
        <f t="shared" ca="1" si="20"/>
        <v>138.96484122361292</v>
      </c>
      <c r="M51" s="6">
        <f t="shared" ca="1" si="31"/>
        <v>0</v>
      </c>
      <c r="N51" s="6">
        <f t="shared" ca="1" si="14"/>
        <v>0</v>
      </c>
      <c r="O51" s="6">
        <f ca="1">COUNTIFS($C$2:C50,"&lt;="&amp;C51,$L$2:L50,"&gt;"&amp;C51)</f>
        <v>1</v>
      </c>
      <c r="P51" s="9">
        <f t="shared" ca="1" si="21"/>
        <v>0</v>
      </c>
      <c r="Q51" s="9">
        <f t="shared" ca="1" si="22"/>
        <v>0</v>
      </c>
      <c r="R51" s="9">
        <f t="shared" ca="1" si="23"/>
        <v>0.97470958388387885</v>
      </c>
      <c r="S51">
        <f t="shared" ca="1" si="15"/>
        <v>8.013271564333289</v>
      </c>
      <c r="T51">
        <f t="shared" ca="1" si="16"/>
        <v>0</v>
      </c>
      <c r="U51">
        <f t="shared" ca="1" si="17"/>
        <v>0</v>
      </c>
    </row>
    <row r="52" spans="1:21" ht="15" x14ac:dyDescent="0.3">
      <c r="A52" s="6">
        <v>51</v>
      </c>
      <c r="B52" s="6">
        <f t="shared" ca="1" si="24"/>
        <v>2.9199683903461708</v>
      </c>
      <c r="C52" s="9">
        <f t="shared" ca="1" si="25"/>
        <v>133.87153804962583</v>
      </c>
      <c r="D52" s="6">
        <f t="shared" ca="1" si="18"/>
        <v>0.79725867239376114</v>
      </c>
      <c r="E52" s="6" t="str">
        <f ca="1">LOOKUP(RAND(),{0,0.4,0.7,0.9},{"DEPOSIT","WITHDRAWAL","INQUIRY","LOAN"})</f>
        <v>WITHDRAWAL</v>
      </c>
      <c r="F52" s="6" t="str">
        <f t="shared" ca="1" si="26"/>
        <v>t3</v>
      </c>
      <c r="G52" s="6">
        <f t="shared" ca="1" si="19"/>
        <v>1.3594565715972178</v>
      </c>
      <c r="H52" s="6">
        <f t="shared" ca="1" si="27"/>
        <v>138.96484122361292</v>
      </c>
      <c r="I52" s="6">
        <f t="shared" ca="1" si="28"/>
        <v>132.41120864797006</v>
      </c>
      <c r="J52" s="6">
        <f t="shared" ca="1" si="29"/>
        <v>135.23099462122303</v>
      </c>
      <c r="K52" s="9">
        <f t="shared" ca="1" si="30"/>
        <v>133.87153804962583</v>
      </c>
      <c r="L52" s="6">
        <f t="shared" ca="1" si="20"/>
        <v>135.23099462122303</v>
      </c>
      <c r="M52" s="6">
        <f t="shared" ca="1" si="31"/>
        <v>0</v>
      </c>
      <c r="N52" s="6">
        <f t="shared" ca="1" si="14"/>
        <v>0</v>
      </c>
      <c r="O52" s="6">
        <f ca="1">COUNTIFS($C$2:C51,"&lt;="&amp;C52,$L$2:L51,"&gt;"&amp;C52)</f>
        <v>1</v>
      </c>
      <c r="P52" s="9">
        <f t="shared" ca="1" si="21"/>
        <v>0</v>
      </c>
      <c r="Q52" s="9">
        <f t="shared" ca="1" si="22"/>
        <v>1.4603294016557697</v>
      </c>
      <c r="R52" s="9">
        <f t="shared" ca="1" si="23"/>
        <v>0</v>
      </c>
      <c r="S52">
        <f t="shared" ca="1" si="15"/>
        <v>0</v>
      </c>
      <c r="T52">
        <f t="shared" ca="1" si="16"/>
        <v>0</v>
      </c>
      <c r="U52">
        <f t="shared" ca="1" si="17"/>
        <v>1.3594565715972178</v>
      </c>
    </row>
    <row r="53" spans="1:21" ht="15" x14ac:dyDescent="0.3">
      <c r="A53" s="6">
        <v>52</v>
      </c>
      <c r="B53" s="6">
        <f t="shared" ca="1" si="24"/>
        <v>2.2104347075924364</v>
      </c>
      <c r="C53" s="9">
        <f t="shared" ca="1" si="25"/>
        <v>136.08197275721827</v>
      </c>
      <c r="D53" s="6">
        <f t="shared" ca="1" si="18"/>
        <v>0.55525524712161634</v>
      </c>
      <c r="E53" s="6" t="str">
        <f ca="1">LOOKUP(RAND(),{0,0.4,0.7,0.9},{"DEPOSIT","WITHDRAWAL","INQUIRY","LOAN"})</f>
        <v>DEPOSIT</v>
      </c>
      <c r="F53" s="6" t="str">
        <f t="shared" ca="1" si="26"/>
        <v>t2</v>
      </c>
      <c r="G53" s="6">
        <f t="shared" ca="1" si="19"/>
        <v>2.9416368311791645</v>
      </c>
      <c r="H53" s="6">
        <f t="shared" ca="1" si="27"/>
        <v>138.96484122361292</v>
      </c>
      <c r="I53" s="6">
        <f t="shared" ca="1" si="28"/>
        <v>139.02360958839742</v>
      </c>
      <c r="J53" s="6">
        <f t="shared" ca="1" si="29"/>
        <v>135.23099462122303</v>
      </c>
      <c r="K53" s="9">
        <f t="shared" ca="1" si="30"/>
        <v>136.08197275721827</v>
      </c>
      <c r="L53" s="6">
        <f t="shared" ca="1" si="20"/>
        <v>139.02360958839742</v>
      </c>
      <c r="M53" s="6">
        <f t="shared" ca="1" si="31"/>
        <v>0</v>
      </c>
      <c r="N53" s="6">
        <f t="shared" ca="1" si="14"/>
        <v>0</v>
      </c>
      <c r="O53" s="6">
        <f ca="1">COUNTIFS($C$2:C52,"&lt;="&amp;C53,$L$2:L52,"&gt;"&amp;C53)</f>
        <v>1</v>
      </c>
      <c r="P53" s="9">
        <f t="shared" ca="1" si="21"/>
        <v>0</v>
      </c>
      <c r="Q53" s="9">
        <f t="shared" ca="1" si="22"/>
        <v>0</v>
      </c>
      <c r="R53" s="9">
        <f t="shared" ca="1" si="23"/>
        <v>0.8509781359952342</v>
      </c>
      <c r="S53">
        <f t="shared" ca="1" si="15"/>
        <v>0</v>
      </c>
      <c r="T53">
        <f t="shared" ca="1" si="16"/>
        <v>2.9416368311791645</v>
      </c>
      <c r="U53">
        <f t="shared" ca="1" si="17"/>
        <v>0</v>
      </c>
    </row>
    <row r="54" spans="1:21" ht="15" x14ac:dyDescent="0.3">
      <c r="A54" s="6">
        <v>53</v>
      </c>
      <c r="B54" s="6">
        <f t="shared" ca="1" si="24"/>
        <v>1.6544800387409622</v>
      </c>
      <c r="C54" s="9">
        <f t="shared" ca="1" si="25"/>
        <v>137.73645279595922</v>
      </c>
      <c r="D54" s="6">
        <f t="shared" ca="1" si="18"/>
        <v>0.4312684392647298</v>
      </c>
      <c r="E54" s="6" t="str">
        <f ca="1">LOOKUP(RAND(),{0,0.4,0.7,0.9},{"DEPOSIT","WITHDRAWAL","INQUIRY","LOAN"})</f>
        <v>LOAN</v>
      </c>
      <c r="F54" s="6" t="str">
        <f t="shared" ca="1" si="26"/>
        <v>t3</v>
      </c>
      <c r="G54" s="6">
        <f t="shared" ca="1" si="19"/>
        <v>10.092294646024046</v>
      </c>
      <c r="H54" s="6">
        <f t="shared" ca="1" si="27"/>
        <v>138.96484122361292</v>
      </c>
      <c r="I54" s="6">
        <f t="shared" ca="1" si="28"/>
        <v>139.02360958839742</v>
      </c>
      <c r="J54" s="6">
        <f t="shared" ca="1" si="29"/>
        <v>147.82874744198327</v>
      </c>
      <c r="K54" s="9">
        <f t="shared" ca="1" si="30"/>
        <v>137.73645279595922</v>
      </c>
      <c r="L54" s="6">
        <f t="shared" ca="1" si="20"/>
        <v>147.82874744198327</v>
      </c>
      <c r="M54" s="6">
        <f t="shared" ca="1" si="31"/>
        <v>0</v>
      </c>
      <c r="N54" s="6">
        <f t="shared" ca="1" si="14"/>
        <v>0</v>
      </c>
      <c r="O54" s="6">
        <f ca="1">COUNTIFS($C$2:C53,"&lt;="&amp;C54,$L$2:L53,"&gt;"&amp;C54)</f>
        <v>2</v>
      </c>
      <c r="P54" s="9">
        <f t="shared" ca="1" si="21"/>
        <v>0</v>
      </c>
      <c r="Q54" s="9">
        <f t="shared" ca="1" si="22"/>
        <v>0</v>
      </c>
      <c r="R54" s="9">
        <f t="shared" ca="1" si="23"/>
        <v>0</v>
      </c>
      <c r="S54">
        <f t="shared" ca="1" si="15"/>
        <v>0</v>
      </c>
      <c r="T54">
        <f t="shared" ca="1" si="16"/>
        <v>0</v>
      </c>
      <c r="U54">
        <f t="shared" ca="1" si="17"/>
        <v>10.092294646024046</v>
      </c>
    </row>
    <row r="55" spans="1:21" ht="15" x14ac:dyDescent="0.3">
      <c r="A55" s="6">
        <v>54</v>
      </c>
      <c r="B55" s="6">
        <f t="shared" ca="1" si="24"/>
        <v>1.3991182358576986</v>
      </c>
      <c r="C55" s="9">
        <f t="shared" ca="1" si="25"/>
        <v>139.13557103181691</v>
      </c>
      <c r="D55" s="6">
        <f t="shared" ca="1" si="18"/>
        <v>0.12756961866927008</v>
      </c>
      <c r="E55" s="6" t="str">
        <f ca="1">LOOKUP(RAND(),{0,0.4,0.7,0.9},{"DEPOSIT","WITHDRAWAL","INQUIRY","LOAN"})</f>
        <v>WITHDRAWAL</v>
      </c>
      <c r="F55" s="6" t="str">
        <f t="shared" ca="1" si="26"/>
        <v>t1</v>
      </c>
      <c r="G55" s="6">
        <f t="shared" ca="1" si="19"/>
        <v>12.354558207747225</v>
      </c>
      <c r="H55" s="6">
        <f t="shared" ca="1" si="27"/>
        <v>151.49012923956414</v>
      </c>
      <c r="I55" s="6">
        <f t="shared" ca="1" si="28"/>
        <v>139.02360958839742</v>
      </c>
      <c r="J55" s="6">
        <f t="shared" ca="1" si="29"/>
        <v>147.82874744198327</v>
      </c>
      <c r="K55" s="9">
        <f t="shared" ca="1" si="30"/>
        <v>139.13557103181691</v>
      </c>
      <c r="L55" s="6">
        <f t="shared" ca="1" si="20"/>
        <v>151.49012923956414</v>
      </c>
      <c r="M55" s="6">
        <f t="shared" ca="1" si="31"/>
        <v>0</v>
      </c>
      <c r="N55" s="6">
        <f t="shared" ca="1" si="14"/>
        <v>0</v>
      </c>
      <c r="O55" s="6">
        <f ca="1">COUNTIFS($C$2:C54,"&lt;="&amp;C55,$L$2:L54,"&gt;"&amp;C55)</f>
        <v>1</v>
      </c>
      <c r="P55" s="9">
        <f t="shared" ca="1" si="21"/>
        <v>0</v>
      </c>
      <c r="Q55" s="9">
        <f t="shared" ca="1" si="22"/>
        <v>0.11196144341948866</v>
      </c>
      <c r="R55" s="9">
        <f t="shared" ca="1" si="23"/>
        <v>0</v>
      </c>
      <c r="S55">
        <f t="shared" ca="1" si="15"/>
        <v>12.354558207747225</v>
      </c>
      <c r="T55">
        <f t="shared" ca="1" si="16"/>
        <v>0</v>
      </c>
      <c r="U55">
        <f t="shared" ca="1" si="17"/>
        <v>0</v>
      </c>
    </row>
    <row r="56" spans="1:21" ht="15" x14ac:dyDescent="0.3">
      <c r="A56" s="6">
        <v>55</v>
      </c>
      <c r="B56" s="6">
        <f t="shared" ca="1" si="24"/>
        <v>1.7505766231333375</v>
      </c>
      <c r="C56" s="9">
        <f t="shared" ca="1" si="25"/>
        <v>140.88614765495024</v>
      </c>
      <c r="D56" s="6">
        <f t="shared" ca="1" si="18"/>
        <v>0.74806902041211409</v>
      </c>
      <c r="E56" s="6" t="str">
        <f ca="1">LOOKUP(RAND(),{0,0.4,0.7,0.9},{"DEPOSIT","WITHDRAWAL","INQUIRY","LOAN"})</f>
        <v>DEPOSIT</v>
      </c>
      <c r="F56" s="6" t="str">
        <f t="shared" ca="1" si="26"/>
        <v>t2</v>
      </c>
      <c r="G56" s="6">
        <f t="shared" ca="1" si="19"/>
        <v>1.4513001599317474</v>
      </c>
      <c r="H56" s="6">
        <f t="shared" ca="1" si="27"/>
        <v>151.49012923956414</v>
      </c>
      <c r="I56" s="6">
        <f t="shared" ca="1" si="28"/>
        <v>142.33744781488198</v>
      </c>
      <c r="J56" s="6">
        <f t="shared" ca="1" si="29"/>
        <v>147.82874744198327</v>
      </c>
      <c r="K56" s="9">
        <f t="shared" ca="1" si="30"/>
        <v>140.88614765495024</v>
      </c>
      <c r="L56" s="6">
        <f t="shared" ca="1" si="20"/>
        <v>142.33744781488198</v>
      </c>
      <c r="M56" s="6">
        <f t="shared" ca="1" si="31"/>
        <v>0</v>
      </c>
      <c r="N56" s="6">
        <f t="shared" ca="1" si="14"/>
        <v>0</v>
      </c>
      <c r="O56" s="6">
        <f ca="1">COUNTIFS($C$2:C55,"&lt;="&amp;C56,$L$2:L55,"&gt;"&amp;C56)</f>
        <v>2</v>
      </c>
      <c r="P56" s="9">
        <f t="shared" ca="1" si="21"/>
        <v>0</v>
      </c>
      <c r="Q56" s="9">
        <f t="shared" ca="1" si="22"/>
        <v>0</v>
      </c>
      <c r="R56" s="9">
        <f t="shared" ca="1" si="23"/>
        <v>0</v>
      </c>
      <c r="S56">
        <f t="shared" ca="1" si="15"/>
        <v>0</v>
      </c>
      <c r="T56">
        <f t="shared" ca="1" si="16"/>
        <v>1.4513001599317474</v>
      </c>
      <c r="U56">
        <f t="shared" ca="1" si="17"/>
        <v>0</v>
      </c>
    </row>
    <row r="57" spans="1:21" ht="15" x14ac:dyDescent="0.3">
      <c r="A57" s="6">
        <v>56</v>
      </c>
      <c r="B57" s="6">
        <f t="shared" ca="1" si="24"/>
        <v>3.2181696742888284</v>
      </c>
      <c r="C57" s="9">
        <f t="shared" ca="1" si="25"/>
        <v>144.10431732923905</v>
      </c>
      <c r="D57" s="6">
        <f t="shared" ca="1" si="18"/>
        <v>0.77822777070914151</v>
      </c>
      <c r="E57" s="6" t="str">
        <f ca="1">LOOKUP(RAND(),{0,0.4,0.7,0.9},{"DEPOSIT","WITHDRAWAL","INQUIRY","LOAN"})</f>
        <v>DEPOSIT</v>
      </c>
      <c r="F57" s="6" t="str">
        <f t="shared" ca="1" si="26"/>
        <v>t2</v>
      </c>
      <c r="G57" s="6">
        <f t="shared" ca="1" si="19"/>
        <v>1.2536801662162258</v>
      </c>
      <c r="H57" s="6">
        <f t="shared" ca="1" si="27"/>
        <v>151.49012923956414</v>
      </c>
      <c r="I57" s="6">
        <f t="shared" ca="1" si="28"/>
        <v>145.35799749545527</v>
      </c>
      <c r="J57" s="6">
        <f t="shared" ca="1" si="29"/>
        <v>147.82874744198327</v>
      </c>
      <c r="K57" s="9">
        <f t="shared" ca="1" si="30"/>
        <v>144.10431732923905</v>
      </c>
      <c r="L57" s="6">
        <f t="shared" ca="1" si="20"/>
        <v>145.35799749545527</v>
      </c>
      <c r="M57" s="6">
        <f t="shared" ca="1" si="31"/>
        <v>0</v>
      </c>
      <c r="N57" s="6">
        <f t="shared" ca="1" si="14"/>
        <v>0</v>
      </c>
      <c r="O57" s="6">
        <f ca="1">COUNTIFS($C$2:C56,"&lt;="&amp;C57,$L$2:L56,"&gt;"&amp;C57)</f>
        <v>2</v>
      </c>
      <c r="P57" s="9">
        <f t="shared" ca="1" si="21"/>
        <v>0</v>
      </c>
      <c r="Q57" s="9">
        <f t="shared" ca="1" si="22"/>
        <v>0</v>
      </c>
      <c r="R57" s="9">
        <f t="shared" ca="1" si="23"/>
        <v>0</v>
      </c>
      <c r="S57">
        <f t="shared" ca="1" si="15"/>
        <v>0</v>
      </c>
      <c r="T57">
        <f t="shared" ca="1" si="16"/>
        <v>1.2536801662162258</v>
      </c>
      <c r="U57">
        <f t="shared" ca="1" si="17"/>
        <v>0</v>
      </c>
    </row>
    <row r="58" spans="1:21" ht="15" x14ac:dyDescent="0.3">
      <c r="A58" s="6">
        <v>57</v>
      </c>
      <c r="B58" s="6">
        <f t="shared" ca="1" si="24"/>
        <v>2.0227220087826283</v>
      </c>
      <c r="C58" s="9">
        <f t="shared" ca="1" si="25"/>
        <v>146.12703933802169</v>
      </c>
      <c r="D58" s="6">
        <f t="shared" ca="1" si="18"/>
        <v>9.3553233052296791E-2</v>
      </c>
      <c r="E58" s="6" t="str">
        <f ca="1">LOOKUP(RAND(),{0,0.4,0.7,0.9},{"DEPOSIT","WITHDRAWAL","INQUIRY","LOAN"})</f>
        <v>WITHDRAWAL</v>
      </c>
      <c r="F58" s="6" t="str">
        <f t="shared" ca="1" si="26"/>
        <v>t2</v>
      </c>
      <c r="G58" s="6">
        <f t="shared" ca="1" si="19"/>
        <v>14.21534800344514</v>
      </c>
      <c r="H58" s="6">
        <f t="shared" ca="1" si="27"/>
        <v>151.49012923956414</v>
      </c>
      <c r="I58" s="6">
        <f t="shared" ca="1" si="28"/>
        <v>160.34238734146683</v>
      </c>
      <c r="J58" s="6">
        <f t="shared" ca="1" si="29"/>
        <v>147.82874744198327</v>
      </c>
      <c r="K58" s="9">
        <f t="shared" ca="1" si="30"/>
        <v>146.12703933802169</v>
      </c>
      <c r="L58" s="6">
        <f t="shared" ca="1" si="20"/>
        <v>160.34238734146683</v>
      </c>
      <c r="M58" s="6">
        <f t="shared" ca="1" si="31"/>
        <v>0</v>
      </c>
      <c r="N58" s="6">
        <f t="shared" ca="1" si="14"/>
        <v>0</v>
      </c>
      <c r="O58" s="6">
        <f ca="1">COUNTIFS($C$2:C57,"&lt;="&amp;C58,$L$2:L57,"&gt;"&amp;C58)</f>
        <v>2</v>
      </c>
      <c r="P58" s="9">
        <f t="shared" ca="1" si="21"/>
        <v>0</v>
      </c>
      <c r="Q58" s="9">
        <f t="shared" ca="1" si="22"/>
        <v>0</v>
      </c>
      <c r="R58" s="9">
        <f t="shared" ca="1" si="23"/>
        <v>0</v>
      </c>
      <c r="S58">
        <f t="shared" ca="1" si="15"/>
        <v>0</v>
      </c>
      <c r="T58">
        <f t="shared" ca="1" si="16"/>
        <v>14.21534800344514</v>
      </c>
      <c r="U58">
        <f t="shared" ca="1" si="17"/>
        <v>0</v>
      </c>
    </row>
    <row r="59" spans="1:21" ht="15" x14ac:dyDescent="0.3">
      <c r="A59" s="6">
        <v>58</v>
      </c>
      <c r="B59" s="6">
        <f t="shared" ca="1" si="24"/>
        <v>5.1124081945295252</v>
      </c>
      <c r="C59" s="9">
        <f t="shared" ca="1" si="25"/>
        <v>151.23944753255122</v>
      </c>
      <c r="D59" s="6">
        <f t="shared" ca="1" si="18"/>
        <v>0.84073655391664559</v>
      </c>
      <c r="E59" s="6" t="str">
        <f ca="1">LOOKUP(RAND(),{0,0.4,0.7,0.9},{"DEPOSIT","WITHDRAWAL","INQUIRY","LOAN"})</f>
        <v>DEPOSIT</v>
      </c>
      <c r="F59" s="6" t="str">
        <f t="shared" ca="1" si="26"/>
        <v>t3</v>
      </c>
      <c r="G59" s="6">
        <f t="shared" ca="1" si="19"/>
        <v>1</v>
      </c>
      <c r="H59" s="6">
        <f t="shared" ca="1" si="27"/>
        <v>151.49012923956414</v>
      </c>
      <c r="I59" s="6">
        <f t="shared" ca="1" si="28"/>
        <v>160.34238734146683</v>
      </c>
      <c r="J59" s="6">
        <f t="shared" ca="1" si="29"/>
        <v>152.23944753255122</v>
      </c>
      <c r="K59" s="9">
        <f t="shared" ca="1" si="30"/>
        <v>151.23944753255122</v>
      </c>
      <c r="L59" s="6">
        <f t="shared" ca="1" si="20"/>
        <v>152.23944753255122</v>
      </c>
      <c r="M59" s="6">
        <f t="shared" ca="1" si="31"/>
        <v>0</v>
      </c>
      <c r="N59" s="6">
        <f t="shared" ca="1" si="14"/>
        <v>0</v>
      </c>
      <c r="O59" s="6">
        <f ca="1">COUNTIFS($C$2:C58,"&lt;="&amp;C59,$L$2:L58,"&gt;"&amp;C59)</f>
        <v>2</v>
      </c>
      <c r="P59" s="9">
        <f t="shared" ca="1" si="21"/>
        <v>0</v>
      </c>
      <c r="Q59" s="9">
        <f t="shared" ca="1" si="22"/>
        <v>0</v>
      </c>
      <c r="R59" s="9">
        <f t="shared" ca="1" si="23"/>
        <v>0</v>
      </c>
      <c r="S59">
        <f t="shared" ca="1" si="15"/>
        <v>0</v>
      </c>
      <c r="T59">
        <f t="shared" ca="1" si="16"/>
        <v>0</v>
      </c>
      <c r="U59">
        <f t="shared" ca="1" si="17"/>
        <v>1</v>
      </c>
    </row>
    <row r="60" spans="1:21" ht="15" x14ac:dyDescent="0.3">
      <c r="A60" s="6">
        <v>59</v>
      </c>
      <c r="B60" s="6">
        <f t="shared" ca="1" si="24"/>
        <v>2.4777787545084693</v>
      </c>
      <c r="C60" s="9">
        <f t="shared" ca="1" si="25"/>
        <v>153.7172262870597</v>
      </c>
      <c r="D60" s="6">
        <f t="shared" ca="1" si="18"/>
        <v>0.46171240414892056</v>
      </c>
      <c r="E60" s="6" t="str">
        <f ca="1">LOOKUP(RAND(),{0,0.4,0.7,0.9},{"DEPOSIT","WITHDRAWAL","INQUIRY","LOAN"})</f>
        <v>DEPOSIT</v>
      </c>
      <c r="F60" s="6" t="str">
        <f t="shared" ca="1" si="26"/>
        <v>t1</v>
      </c>
      <c r="G60" s="6">
        <f t="shared" ca="1" si="19"/>
        <v>3.8640654178863953</v>
      </c>
      <c r="H60" s="6">
        <f t="shared" ca="1" si="27"/>
        <v>157.5812917049461</v>
      </c>
      <c r="I60" s="6">
        <f t="shared" ca="1" si="28"/>
        <v>160.34238734146683</v>
      </c>
      <c r="J60" s="6">
        <f t="shared" ca="1" si="29"/>
        <v>152.23944753255122</v>
      </c>
      <c r="K60" s="9">
        <f t="shared" ca="1" si="30"/>
        <v>153.7172262870597</v>
      </c>
      <c r="L60" s="6">
        <f t="shared" ca="1" si="20"/>
        <v>157.5812917049461</v>
      </c>
      <c r="M60" s="6">
        <f t="shared" ca="1" si="31"/>
        <v>0</v>
      </c>
      <c r="N60" s="6">
        <f t="shared" ca="1" si="14"/>
        <v>0</v>
      </c>
      <c r="O60" s="6">
        <f ca="1">COUNTIFS($C$2:C59,"&lt;="&amp;C60,$L$2:L59,"&gt;"&amp;C60)</f>
        <v>1</v>
      </c>
      <c r="P60" s="9">
        <f t="shared" ca="1" si="21"/>
        <v>0</v>
      </c>
      <c r="Q60" s="9">
        <f t="shared" ca="1" si="22"/>
        <v>0</v>
      </c>
      <c r="R60" s="9">
        <f t="shared" ca="1" si="23"/>
        <v>1.4777787545084777</v>
      </c>
      <c r="S60">
        <f t="shared" ca="1" si="15"/>
        <v>3.8640654178863953</v>
      </c>
      <c r="T60">
        <f t="shared" ca="1" si="16"/>
        <v>0</v>
      </c>
      <c r="U60">
        <f t="shared" ca="1" si="17"/>
        <v>0</v>
      </c>
    </row>
    <row r="61" spans="1:21" ht="15" x14ac:dyDescent="0.3">
      <c r="A61" s="6">
        <v>60</v>
      </c>
      <c r="B61" s="6">
        <f t="shared" ca="1" si="24"/>
        <v>0.1647281234919705</v>
      </c>
      <c r="C61" s="9">
        <f t="shared" ca="1" si="25"/>
        <v>153.88195441055169</v>
      </c>
      <c r="D61" s="6">
        <f t="shared" ca="1" si="18"/>
        <v>0.89336996628848864</v>
      </c>
      <c r="E61" s="6" t="str">
        <f ca="1">LOOKUP(RAND(),{0,0.4,0.7,0.9},{"DEPOSIT","WITHDRAWAL","INQUIRY","LOAN"})</f>
        <v>INQUIRY</v>
      </c>
      <c r="F61" s="6" t="str">
        <f t="shared" ca="1" si="26"/>
        <v>t3</v>
      </c>
      <c r="G61" s="6">
        <f t="shared" ca="1" si="19"/>
        <v>1</v>
      </c>
      <c r="H61" s="6">
        <f t="shared" ca="1" si="27"/>
        <v>157.5812917049461</v>
      </c>
      <c r="I61" s="6">
        <f t="shared" ca="1" si="28"/>
        <v>160.34238734146683</v>
      </c>
      <c r="J61" s="6">
        <f t="shared" ca="1" si="29"/>
        <v>154.88195441055169</v>
      </c>
      <c r="K61" s="9">
        <f t="shared" ca="1" si="30"/>
        <v>153.88195441055169</v>
      </c>
      <c r="L61" s="6">
        <f t="shared" ca="1" si="20"/>
        <v>154.88195441055169</v>
      </c>
      <c r="M61" s="6">
        <f t="shared" ca="1" si="31"/>
        <v>0</v>
      </c>
      <c r="N61" s="6">
        <f t="shared" ca="1" si="14"/>
        <v>0</v>
      </c>
      <c r="O61" s="6">
        <f ca="1">COUNTIFS($C$2:C60,"&lt;="&amp;C61,$L$2:L60,"&gt;"&amp;C61)</f>
        <v>2</v>
      </c>
      <c r="P61" s="9">
        <f t="shared" ca="1" si="21"/>
        <v>0</v>
      </c>
      <c r="Q61" s="9">
        <f t="shared" ca="1" si="22"/>
        <v>0</v>
      </c>
      <c r="R61" s="9">
        <f t="shared" ca="1" si="23"/>
        <v>0</v>
      </c>
      <c r="S61">
        <f t="shared" ca="1" si="15"/>
        <v>0</v>
      </c>
      <c r="T61">
        <f t="shared" ca="1" si="16"/>
        <v>0</v>
      </c>
      <c r="U61">
        <f t="shared" ca="1" si="17"/>
        <v>1</v>
      </c>
    </row>
    <row r="62" spans="1:21" ht="15" x14ac:dyDescent="0.3">
      <c r="A62" s="6">
        <v>61</v>
      </c>
      <c r="B62" s="6">
        <f t="shared" ca="1" si="24"/>
        <v>0.97500050833708907</v>
      </c>
      <c r="C62" s="9">
        <f t="shared" ca="1" si="25"/>
        <v>154.85695491888876</v>
      </c>
      <c r="D62" s="6">
        <f t="shared" ca="1" si="18"/>
        <v>0.73075479562251133</v>
      </c>
      <c r="E62" s="6" t="str">
        <f ca="1">LOOKUP(RAND(),{0,0.4,0.7,0.9},{"DEPOSIT","WITHDRAWAL","INQUIRY","LOAN"})</f>
        <v>LOAN</v>
      </c>
      <c r="F62" s="6" t="str">
        <f t="shared" ca="1" si="26"/>
        <v>t3</v>
      </c>
      <c r="G62" s="6">
        <f t="shared" ca="1" si="19"/>
        <v>3.7641277489057257</v>
      </c>
      <c r="H62" s="6">
        <f t="shared" ca="1" si="27"/>
        <v>157.5812917049461</v>
      </c>
      <c r="I62" s="6">
        <f t="shared" ca="1" si="28"/>
        <v>160.34238734146683</v>
      </c>
      <c r="J62" s="6">
        <f t="shared" ca="1" si="29"/>
        <v>158.64608215945742</v>
      </c>
      <c r="K62" s="9">
        <f t="shared" ca="1" si="30"/>
        <v>154.88195441055169</v>
      </c>
      <c r="L62" s="6">
        <f t="shared" ca="1" si="20"/>
        <v>158.64608215945742</v>
      </c>
      <c r="M62" s="6">
        <f t="shared" ca="1" si="31"/>
        <v>2.4999491662924811E-2</v>
      </c>
      <c r="N62" s="6">
        <f t="shared" ca="1" si="14"/>
        <v>1</v>
      </c>
      <c r="O62" s="6">
        <f ca="1">COUNTIFS($C$2:C61,"&lt;="&amp;C62,$L$2:L61,"&gt;"&amp;C62)</f>
        <v>3</v>
      </c>
      <c r="P62" s="9">
        <f t="shared" ca="1" si="21"/>
        <v>0</v>
      </c>
      <c r="Q62" s="9">
        <f t="shared" ca="1" si="22"/>
        <v>0</v>
      </c>
      <c r="R62" s="9">
        <f t="shared" ca="1" si="23"/>
        <v>0</v>
      </c>
      <c r="S62">
        <f t="shared" ca="1" si="15"/>
        <v>0</v>
      </c>
      <c r="T62">
        <f t="shared" ca="1" si="16"/>
        <v>0</v>
      </c>
      <c r="U62">
        <f t="shared" ca="1" si="17"/>
        <v>3.7641277489057257</v>
      </c>
    </row>
    <row r="63" spans="1:21" ht="15" x14ac:dyDescent="0.3">
      <c r="A63" s="6">
        <v>62</v>
      </c>
      <c r="B63" s="6">
        <f t="shared" ca="1" si="24"/>
        <v>2.9992089595028997</v>
      </c>
      <c r="C63" s="9">
        <f t="shared" ca="1" si="25"/>
        <v>157.85616387839167</v>
      </c>
      <c r="D63" s="6">
        <f t="shared" ca="1" si="18"/>
        <v>0.66106235960219017</v>
      </c>
      <c r="E63" s="6" t="str">
        <f ca="1">LOOKUP(RAND(),{0,0.4,0.7,0.9},{"DEPOSIT","WITHDRAWAL","INQUIRY","LOAN"})</f>
        <v>WITHDRAWAL</v>
      </c>
      <c r="F63" s="6" t="str">
        <f t="shared" ca="1" si="26"/>
        <v>t1</v>
      </c>
      <c r="G63" s="6">
        <f t="shared" ca="1" si="19"/>
        <v>2.4834426136556358</v>
      </c>
      <c r="H63" s="6">
        <f t="shared" ca="1" si="27"/>
        <v>160.3396064920473</v>
      </c>
      <c r="I63" s="6">
        <f t="shared" ca="1" si="28"/>
        <v>160.34238734146683</v>
      </c>
      <c r="J63" s="6">
        <f t="shared" ca="1" si="29"/>
        <v>158.64608215945742</v>
      </c>
      <c r="K63" s="9">
        <f t="shared" ca="1" si="30"/>
        <v>157.85616387839167</v>
      </c>
      <c r="L63" s="6">
        <f t="shared" ca="1" si="20"/>
        <v>160.3396064920473</v>
      </c>
      <c r="M63" s="6">
        <f t="shared" ca="1" si="31"/>
        <v>0</v>
      </c>
      <c r="N63" s="6">
        <f t="shared" ca="1" si="14"/>
        <v>0</v>
      </c>
      <c r="O63" s="6">
        <f ca="1">COUNTIFS($C$2:C62,"&lt;="&amp;C63,$L$2:L62,"&gt;"&amp;C63)</f>
        <v>2</v>
      </c>
      <c r="P63" s="9">
        <f t="shared" ca="1" si="21"/>
        <v>0</v>
      </c>
      <c r="Q63" s="9">
        <f t="shared" ca="1" si="22"/>
        <v>0</v>
      </c>
      <c r="R63" s="9">
        <f t="shared" ca="1" si="23"/>
        <v>0</v>
      </c>
      <c r="S63">
        <f t="shared" ca="1" si="15"/>
        <v>2.4834426136556358</v>
      </c>
      <c r="T63">
        <f t="shared" ca="1" si="16"/>
        <v>0</v>
      </c>
      <c r="U63">
        <f t="shared" ca="1" si="17"/>
        <v>0</v>
      </c>
    </row>
    <row r="64" spans="1:21" ht="15" x14ac:dyDescent="0.3">
      <c r="A64" s="6">
        <v>63</v>
      </c>
      <c r="B64" s="6">
        <f t="shared" ca="1" si="24"/>
        <v>1.2025144226647733</v>
      </c>
      <c r="C64" s="9">
        <f t="shared" ca="1" si="25"/>
        <v>159.05867830105643</v>
      </c>
      <c r="D64" s="6">
        <f t="shared" ca="1" si="18"/>
        <v>5.49813458915136E-2</v>
      </c>
      <c r="E64" s="6" t="str">
        <f ca="1">LOOKUP(RAND(),{0,0.4,0.7,0.9},{"DEPOSIT","WITHDRAWAL","INQUIRY","LOAN"})</f>
        <v>WITHDRAWAL</v>
      </c>
      <c r="F64" s="6" t="str">
        <f t="shared" ca="1" si="26"/>
        <v>t3</v>
      </c>
      <c r="G64" s="6">
        <f t="shared" ca="1" si="19"/>
        <v>17.404567901329038</v>
      </c>
      <c r="H64" s="6">
        <f t="shared" ca="1" si="27"/>
        <v>160.3396064920473</v>
      </c>
      <c r="I64" s="6">
        <f t="shared" ca="1" si="28"/>
        <v>160.34238734146683</v>
      </c>
      <c r="J64" s="6">
        <f t="shared" ca="1" si="29"/>
        <v>176.46324620238548</v>
      </c>
      <c r="K64" s="9">
        <f t="shared" ca="1" si="30"/>
        <v>159.05867830105643</v>
      </c>
      <c r="L64" s="6">
        <f t="shared" ca="1" si="20"/>
        <v>176.46324620238548</v>
      </c>
      <c r="M64" s="6">
        <f t="shared" ca="1" si="31"/>
        <v>0</v>
      </c>
      <c r="N64" s="6">
        <f t="shared" ca="1" si="14"/>
        <v>0</v>
      </c>
      <c r="O64" s="6">
        <f ca="1">COUNTIFS($C$2:C63,"&lt;="&amp;C64,$L$2:L63,"&gt;"&amp;C64)</f>
        <v>2</v>
      </c>
      <c r="P64" s="9">
        <f t="shared" ca="1" si="21"/>
        <v>0</v>
      </c>
      <c r="Q64" s="9">
        <f t="shared" ca="1" si="22"/>
        <v>0</v>
      </c>
      <c r="R64" s="9">
        <f t="shared" ca="1" si="23"/>
        <v>0</v>
      </c>
      <c r="S64">
        <f t="shared" ca="1" si="15"/>
        <v>0</v>
      </c>
      <c r="T64">
        <f t="shared" ca="1" si="16"/>
        <v>0</v>
      </c>
      <c r="U64">
        <f t="shared" ca="1" si="17"/>
        <v>17.404567901329038</v>
      </c>
    </row>
    <row r="65" spans="1:21" ht="15" x14ac:dyDescent="0.3">
      <c r="A65" s="6">
        <v>64</v>
      </c>
      <c r="B65" s="6">
        <f t="shared" ca="1" si="24"/>
        <v>9.6140807653136857</v>
      </c>
      <c r="C65" s="9">
        <f t="shared" ca="1" si="25"/>
        <v>168.67275906637011</v>
      </c>
      <c r="D65" s="6">
        <f t="shared" ca="1" si="18"/>
        <v>0.73023967678367852</v>
      </c>
      <c r="E65" s="6" t="str">
        <f ca="1">LOOKUP(RAND(),{0,0.4,0.7,0.9},{"DEPOSIT","WITHDRAWAL","INQUIRY","LOAN"})</f>
        <v>LOAN</v>
      </c>
      <c r="F65" s="6" t="str">
        <f t="shared" ca="1" si="26"/>
        <v>t1</v>
      </c>
      <c r="G65" s="6">
        <f t="shared" ca="1" si="19"/>
        <v>3.7725896923817439</v>
      </c>
      <c r="H65" s="6">
        <f t="shared" ca="1" si="27"/>
        <v>172.44534875875186</v>
      </c>
      <c r="I65" s="6">
        <f t="shared" ca="1" si="28"/>
        <v>160.34238734146683</v>
      </c>
      <c r="J65" s="6">
        <f t="shared" ca="1" si="29"/>
        <v>176.46324620238548</v>
      </c>
      <c r="K65" s="9">
        <f t="shared" ca="1" si="30"/>
        <v>168.67275906637011</v>
      </c>
      <c r="L65" s="6">
        <f t="shared" ca="1" si="20"/>
        <v>172.44534875875186</v>
      </c>
      <c r="M65" s="6">
        <f t="shared" ca="1" si="31"/>
        <v>0</v>
      </c>
      <c r="N65" s="6">
        <f t="shared" ca="1" si="14"/>
        <v>0</v>
      </c>
      <c r="O65" s="6">
        <f ca="1">COUNTIFS($C$2:C64,"&lt;="&amp;C65,$L$2:L64,"&gt;"&amp;C65)</f>
        <v>1</v>
      </c>
      <c r="P65" s="9">
        <f t="shared" ca="1" si="21"/>
        <v>0</v>
      </c>
      <c r="Q65" s="9">
        <f t="shared" ca="1" si="22"/>
        <v>8.3303717249032729</v>
      </c>
      <c r="R65" s="9">
        <f t="shared" ca="1" si="23"/>
        <v>0</v>
      </c>
      <c r="S65">
        <f t="shared" ca="1" si="15"/>
        <v>3.7725896923817439</v>
      </c>
      <c r="T65">
        <f t="shared" ca="1" si="16"/>
        <v>0</v>
      </c>
      <c r="U65">
        <f t="shared" ca="1" si="17"/>
        <v>0</v>
      </c>
    </row>
    <row r="66" spans="1:21" ht="15" x14ac:dyDescent="0.3">
      <c r="A66" s="6">
        <v>65</v>
      </c>
      <c r="B66" s="6">
        <f t="shared" ca="1" si="24"/>
        <v>4.0291750099406833</v>
      </c>
      <c r="C66" s="9">
        <f t="shared" ca="1" si="25"/>
        <v>172.70193407631078</v>
      </c>
      <c r="D66" s="6">
        <f t="shared" ref="D66:D97" ca="1" si="32">RAND()</f>
        <v>0.79378115869026533</v>
      </c>
      <c r="E66" s="6" t="str">
        <f ca="1">LOOKUP(RAND(),{0,0.4,0.7,0.9},{"DEPOSIT","WITHDRAWAL","INQUIRY","LOAN"})</f>
        <v>DEPOSIT</v>
      </c>
      <c r="F66" s="6" t="str">
        <f t="shared" ca="1" si="26"/>
        <v>t2</v>
      </c>
      <c r="G66" s="6">
        <f t="shared" ref="G66:G97" ca="1" si="33">IF(E66="DEPOSIT",MAX(1,-5*LN(D66)),IF(E66="WITHDRAWAL",MAX(1,-6*LN(D66)),IF(E66="INQUIRY",MAX(1,-4*LN(D66)),MAX(1,-12*LN(D66)))))</f>
        <v>1.1547373725142036</v>
      </c>
      <c r="H66" s="6">
        <f t="shared" ca="1" si="27"/>
        <v>172.44534875875186</v>
      </c>
      <c r="I66" s="6">
        <f t="shared" ca="1" si="28"/>
        <v>173.85667144882498</v>
      </c>
      <c r="J66" s="6">
        <f t="shared" ca="1" si="29"/>
        <v>176.46324620238548</v>
      </c>
      <c r="K66" s="9">
        <f t="shared" ca="1" si="30"/>
        <v>172.70193407631078</v>
      </c>
      <c r="L66" s="6">
        <f t="shared" ref="L66:L97" ca="1" si="34">K66+G66</f>
        <v>173.85667144882498</v>
      </c>
      <c r="M66" s="6">
        <f t="shared" ca="1" si="31"/>
        <v>0</v>
      </c>
      <c r="N66" s="6">
        <f t="shared" ca="1" si="14"/>
        <v>0</v>
      </c>
      <c r="O66" s="6">
        <f ca="1">COUNTIFS($C$2:C65,"&lt;="&amp;C66,$L$2:L65,"&gt;"&amp;C66)</f>
        <v>1</v>
      </c>
      <c r="P66" s="9">
        <f t="shared" ref="P66:P97" ca="1" si="35">MAX(0,C66-H66)</f>
        <v>0.25658531755891545</v>
      </c>
      <c r="Q66" s="9">
        <f t="shared" ref="Q66:Q97" ca="1" si="36">MAX(0,C66-I66)</f>
        <v>0</v>
      </c>
      <c r="R66" s="9">
        <f t="shared" ref="R66:R97" ca="1" si="37">MAX(0,C66-J66)</f>
        <v>0</v>
      </c>
      <c r="S66">
        <f t="shared" ca="1" si="15"/>
        <v>0</v>
      </c>
      <c r="T66">
        <f t="shared" ca="1" si="16"/>
        <v>1.1547373725142036</v>
      </c>
      <c r="U66">
        <f t="shared" ca="1" si="17"/>
        <v>0</v>
      </c>
    </row>
    <row r="67" spans="1:21" ht="15" x14ac:dyDescent="0.3">
      <c r="A67" s="6">
        <v>66</v>
      </c>
      <c r="B67" s="6">
        <f t="shared" ref="B67:B98" ca="1" si="38">-LN(1-RAND())/(25/60)</f>
        <v>0.17640563359875075</v>
      </c>
      <c r="C67" s="9">
        <f t="shared" ref="C67:C98" ca="1" si="39">C66+B67</f>
        <v>172.87833970990954</v>
      </c>
      <c r="D67" s="6">
        <f t="shared" ca="1" si="32"/>
        <v>0.86038297224396365</v>
      </c>
      <c r="E67" s="6" t="str">
        <f ca="1">LOOKUP(RAND(),{0,0.4,0.7,0.9},{"DEPOSIT","WITHDRAWAL","INQUIRY","LOAN"})</f>
        <v>DEPOSIT</v>
      </c>
      <c r="F67" s="6" t="str">
        <f t="shared" ref="F67:F98" ca="1" si="40">IF(C67&gt;MAX(H66,I66,J66),"t1",IF(MIN(H66,I66,J66)=H66,"t1",(IF(MIN(H66,I66,J66)=I66,"t2","t3"))))</f>
        <v>t1</v>
      </c>
      <c r="G67" s="6">
        <f t="shared" ca="1" si="33"/>
        <v>1</v>
      </c>
      <c r="H67" s="6">
        <f t="shared" ref="H67:H98" ca="1" si="41">IF(F67="t1",L67,H66)</f>
        <v>173.87833970990954</v>
      </c>
      <c r="I67" s="6">
        <f t="shared" ref="I67:I98" ca="1" si="42">IF(F67="t2",L67,I66)</f>
        <v>173.85667144882498</v>
      </c>
      <c r="J67" s="6">
        <f t="shared" ref="J67:J98" ca="1" si="43">IF(F67="t3",L67,J66)</f>
        <v>176.46324620238548</v>
      </c>
      <c r="K67" s="9">
        <f t="shared" ref="K67:K98" ca="1" si="44">IF(M67=0,C67,MIN(H66,I66,J66))</f>
        <v>172.87833970990954</v>
      </c>
      <c r="L67" s="6">
        <f t="shared" ca="1" si="34"/>
        <v>173.87833970990954</v>
      </c>
      <c r="M67" s="6">
        <f t="shared" ref="M67:M98" ca="1" si="45">IF(C67&lt;MIN(H66,I66,J66),MIN(H66,I66,J66)-C67,0)</f>
        <v>0</v>
      </c>
      <c r="N67" s="6">
        <f t="shared" ref="N67:N130" ca="1" si="46">IF(M67=0,0,1)</f>
        <v>0</v>
      </c>
      <c r="O67" s="6">
        <f ca="1">COUNTIFS($C$2:C66,"&lt;="&amp;C67,$L$2:L66,"&gt;"&amp;C67)</f>
        <v>2</v>
      </c>
      <c r="P67" s="9">
        <f t="shared" ca="1" si="35"/>
        <v>0</v>
      </c>
      <c r="Q67" s="9">
        <f t="shared" ca="1" si="36"/>
        <v>0</v>
      </c>
      <c r="R67" s="9">
        <f t="shared" ca="1" si="37"/>
        <v>0</v>
      </c>
      <c r="S67">
        <f t="shared" ref="S67:S130" ca="1" si="47">IF(F67="t1",G67,0)</f>
        <v>1</v>
      </c>
      <c r="T67">
        <f t="shared" ref="T67:T130" ca="1" si="48">IF(F67="t2",G67,0)</f>
        <v>0</v>
      </c>
      <c r="U67">
        <f t="shared" ref="U67:U130" ca="1" si="49">IF(F67="t3",G67,0)</f>
        <v>0</v>
      </c>
    </row>
    <row r="68" spans="1:21" ht="15" x14ac:dyDescent="0.3">
      <c r="A68" s="6">
        <v>67</v>
      </c>
      <c r="B68" s="6">
        <f t="shared" ca="1" si="38"/>
        <v>1.520048460232553</v>
      </c>
      <c r="C68" s="9">
        <f t="shared" ca="1" si="39"/>
        <v>174.39838817014208</v>
      </c>
      <c r="D68" s="6">
        <f t="shared" ca="1" si="32"/>
        <v>0.50087343986470367</v>
      </c>
      <c r="E68" s="6" t="str">
        <f ca="1">LOOKUP(RAND(),{0,0.4,0.7,0.9},{"DEPOSIT","WITHDRAWAL","INQUIRY","LOAN"})</f>
        <v>DEPOSIT</v>
      </c>
      <c r="F68" s="6" t="str">
        <f t="shared" ca="1" si="40"/>
        <v>t2</v>
      </c>
      <c r="G68" s="6">
        <f t="shared" ca="1" si="33"/>
        <v>3.4570091242516887</v>
      </c>
      <c r="H68" s="6">
        <f t="shared" ca="1" si="41"/>
        <v>173.87833970990954</v>
      </c>
      <c r="I68" s="6">
        <f t="shared" ca="1" si="42"/>
        <v>177.85539729439378</v>
      </c>
      <c r="J68" s="6">
        <f t="shared" ca="1" si="43"/>
        <v>176.46324620238548</v>
      </c>
      <c r="K68" s="9">
        <f t="shared" ca="1" si="44"/>
        <v>174.39838817014208</v>
      </c>
      <c r="L68" s="6">
        <f t="shared" ca="1" si="34"/>
        <v>177.85539729439378</v>
      </c>
      <c r="M68" s="6">
        <f t="shared" ca="1" si="45"/>
        <v>0</v>
      </c>
      <c r="N68" s="6">
        <f t="shared" ca="1" si="46"/>
        <v>0</v>
      </c>
      <c r="O68" s="6">
        <f ca="1">COUNTIFS($C$2:C67,"&lt;="&amp;C68,$L$2:L67,"&gt;"&amp;C68)</f>
        <v>1</v>
      </c>
      <c r="P68" s="9">
        <f t="shared" ca="1" si="35"/>
        <v>0.52004846023254458</v>
      </c>
      <c r="Q68" s="9">
        <f t="shared" ca="1" si="36"/>
        <v>0</v>
      </c>
      <c r="R68" s="9">
        <f t="shared" ca="1" si="37"/>
        <v>0</v>
      </c>
      <c r="S68">
        <f t="shared" ca="1" si="47"/>
        <v>0</v>
      </c>
      <c r="T68">
        <f t="shared" ca="1" si="48"/>
        <v>3.4570091242516887</v>
      </c>
      <c r="U68">
        <f t="shared" ca="1" si="49"/>
        <v>0</v>
      </c>
    </row>
    <row r="69" spans="1:21" ht="15" x14ac:dyDescent="0.3">
      <c r="A69" s="6">
        <v>68</v>
      </c>
      <c r="B69" s="6">
        <f t="shared" ca="1" si="38"/>
        <v>3.2980018769360142</v>
      </c>
      <c r="C69" s="9">
        <f t="shared" ca="1" si="39"/>
        <v>177.6963900470781</v>
      </c>
      <c r="D69" s="6">
        <f t="shared" ca="1" si="32"/>
        <v>0.5462209329500165</v>
      </c>
      <c r="E69" s="6" t="str">
        <f ca="1">LOOKUP(RAND(),{0,0.4,0.7,0.9},{"DEPOSIT","WITHDRAWAL","INQUIRY","LOAN"})</f>
        <v>WITHDRAWAL</v>
      </c>
      <c r="F69" s="6" t="str">
        <f t="shared" ca="1" si="40"/>
        <v>t1</v>
      </c>
      <c r="G69" s="6">
        <f t="shared" ca="1" si="33"/>
        <v>3.6283904758737711</v>
      </c>
      <c r="H69" s="6">
        <f t="shared" ca="1" si="41"/>
        <v>181.32478052295187</v>
      </c>
      <c r="I69" s="6">
        <f t="shared" ca="1" si="42"/>
        <v>177.85539729439378</v>
      </c>
      <c r="J69" s="6">
        <f t="shared" ca="1" si="43"/>
        <v>176.46324620238548</v>
      </c>
      <c r="K69" s="9">
        <f t="shared" ca="1" si="44"/>
        <v>177.6963900470781</v>
      </c>
      <c r="L69" s="6">
        <f t="shared" ca="1" si="34"/>
        <v>181.32478052295187</v>
      </c>
      <c r="M69" s="6">
        <f t="shared" ca="1" si="45"/>
        <v>0</v>
      </c>
      <c r="N69" s="6">
        <f t="shared" ca="1" si="46"/>
        <v>0</v>
      </c>
      <c r="O69" s="6">
        <f ca="1">COUNTIFS($C$2:C68,"&lt;="&amp;C69,$L$2:L68,"&gt;"&amp;C69)</f>
        <v>1</v>
      </c>
      <c r="P69" s="9">
        <f t="shared" ca="1" si="35"/>
        <v>0</v>
      </c>
      <c r="Q69" s="9">
        <f t="shared" ca="1" si="36"/>
        <v>0</v>
      </c>
      <c r="R69" s="9">
        <f t="shared" ca="1" si="37"/>
        <v>1.23314384469262</v>
      </c>
      <c r="S69">
        <f t="shared" ca="1" si="47"/>
        <v>3.6283904758737711</v>
      </c>
      <c r="T69">
        <f t="shared" ca="1" si="48"/>
        <v>0</v>
      </c>
      <c r="U69">
        <f t="shared" ca="1" si="49"/>
        <v>0</v>
      </c>
    </row>
    <row r="70" spans="1:21" ht="15" x14ac:dyDescent="0.3">
      <c r="A70" s="6">
        <v>69</v>
      </c>
      <c r="B70" s="6">
        <f t="shared" ca="1" si="38"/>
        <v>1.0787245367713099</v>
      </c>
      <c r="C70" s="9">
        <f t="shared" ca="1" si="39"/>
        <v>178.77511458384942</v>
      </c>
      <c r="D70" s="6">
        <f t="shared" ca="1" si="32"/>
        <v>0.96798274170310938</v>
      </c>
      <c r="E70" s="6" t="str">
        <f ca="1">LOOKUP(RAND(),{0,0.4,0.7,0.9},{"DEPOSIT","WITHDRAWAL","INQUIRY","LOAN"})</f>
        <v>DEPOSIT</v>
      </c>
      <c r="F70" s="6" t="str">
        <f t="shared" ca="1" si="40"/>
        <v>t3</v>
      </c>
      <c r="G70" s="6">
        <f t="shared" ca="1" si="33"/>
        <v>1</v>
      </c>
      <c r="H70" s="6">
        <f t="shared" ca="1" si="41"/>
        <v>181.32478052295187</v>
      </c>
      <c r="I70" s="6">
        <f t="shared" ca="1" si="42"/>
        <v>177.85539729439378</v>
      </c>
      <c r="J70" s="6">
        <f t="shared" ca="1" si="43"/>
        <v>179.77511458384942</v>
      </c>
      <c r="K70" s="9">
        <f t="shared" ca="1" si="44"/>
        <v>178.77511458384942</v>
      </c>
      <c r="L70" s="6">
        <f t="shared" ca="1" si="34"/>
        <v>179.77511458384942</v>
      </c>
      <c r="M70" s="6">
        <f t="shared" ca="1" si="45"/>
        <v>0</v>
      </c>
      <c r="N70" s="6">
        <f t="shared" ca="1" si="46"/>
        <v>0</v>
      </c>
      <c r="O70" s="6">
        <f ca="1">COUNTIFS($C$2:C69,"&lt;="&amp;C70,$L$2:L69,"&gt;"&amp;C70)</f>
        <v>1</v>
      </c>
      <c r="P70" s="9">
        <f t="shared" ca="1" si="35"/>
        <v>0</v>
      </c>
      <c r="Q70" s="9">
        <f t="shared" ca="1" si="36"/>
        <v>0.91971728945563314</v>
      </c>
      <c r="R70" s="9">
        <f t="shared" ca="1" si="37"/>
        <v>0</v>
      </c>
      <c r="S70">
        <f t="shared" ca="1" si="47"/>
        <v>0</v>
      </c>
      <c r="T70">
        <f t="shared" ca="1" si="48"/>
        <v>0</v>
      </c>
      <c r="U70">
        <f t="shared" ca="1" si="49"/>
        <v>1</v>
      </c>
    </row>
    <row r="71" spans="1:21" ht="15" x14ac:dyDescent="0.3">
      <c r="A71" s="6">
        <v>70</v>
      </c>
      <c r="B71" s="6">
        <f t="shared" ca="1" si="38"/>
        <v>4.460608335598744</v>
      </c>
      <c r="C71" s="9">
        <f t="shared" ca="1" si="39"/>
        <v>183.23572291944816</v>
      </c>
      <c r="D71" s="6">
        <f t="shared" ca="1" si="32"/>
        <v>1.8425844824610516E-2</v>
      </c>
      <c r="E71" s="6" t="str">
        <f ca="1">LOOKUP(RAND(),{0,0.4,0.7,0.9},{"DEPOSIT","WITHDRAWAL","INQUIRY","LOAN"})</f>
        <v>DEPOSIT</v>
      </c>
      <c r="F71" s="6" t="str">
        <f t="shared" ca="1" si="40"/>
        <v>t1</v>
      </c>
      <c r="G71" s="6">
        <f t="shared" ca="1" si="33"/>
        <v>19.970004949379646</v>
      </c>
      <c r="H71" s="6">
        <f t="shared" ca="1" si="41"/>
        <v>203.20572786882781</v>
      </c>
      <c r="I71" s="6">
        <f t="shared" ca="1" si="42"/>
        <v>177.85539729439378</v>
      </c>
      <c r="J71" s="6">
        <f t="shared" ca="1" si="43"/>
        <v>179.77511458384942</v>
      </c>
      <c r="K71" s="9">
        <f t="shared" ca="1" si="44"/>
        <v>183.23572291944816</v>
      </c>
      <c r="L71" s="6">
        <f t="shared" ca="1" si="34"/>
        <v>203.20572786882781</v>
      </c>
      <c r="M71" s="6">
        <f t="shared" ca="1" si="45"/>
        <v>0</v>
      </c>
      <c r="N71" s="6">
        <f t="shared" ca="1" si="46"/>
        <v>0</v>
      </c>
      <c r="O71" s="6">
        <f ca="1">COUNTIFS($C$2:C70,"&lt;="&amp;C71,$L$2:L70,"&gt;"&amp;C71)</f>
        <v>0</v>
      </c>
      <c r="P71" s="9">
        <f t="shared" ca="1" si="35"/>
        <v>0</v>
      </c>
      <c r="Q71" s="9">
        <f t="shared" ca="1" si="36"/>
        <v>5.3803256250543825</v>
      </c>
      <c r="R71" s="9">
        <f t="shared" ca="1" si="37"/>
        <v>3.4606083355987494</v>
      </c>
      <c r="S71">
        <f t="shared" ca="1" si="47"/>
        <v>19.970004949379646</v>
      </c>
      <c r="T71">
        <f t="shared" ca="1" si="48"/>
        <v>0</v>
      </c>
      <c r="U71">
        <f t="shared" ca="1" si="49"/>
        <v>0</v>
      </c>
    </row>
    <row r="72" spans="1:21" ht="15" x14ac:dyDescent="0.3">
      <c r="A72" s="6">
        <v>71</v>
      </c>
      <c r="B72" s="6">
        <f t="shared" ca="1" si="38"/>
        <v>5.5924296138016407</v>
      </c>
      <c r="C72" s="9">
        <f t="shared" ca="1" si="39"/>
        <v>188.82815253324981</v>
      </c>
      <c r="D72" s="6">
        <f t="shared" ca="1" si="32"/>
        <v>0.44170386137192419</v>
      </c>
      <c r="E72" s="6" t="str">
        <f ca="1">LOOKUP(RAND(),{0,0.4,0.7,0.9},{"DEPOSIT","WITHDRAWAL","INQUIRY","LOAN"})</f>
        <v>INQUIRY</v>
      </c>
      <c r="F72" s="6" t="str">
        <f t="shared" ca="1" si="40"/>
        <v>t2</v>
      </c>
      <c r="G72" s="6">
        <f t="shared" ca="1" si="33"/>
        <v>3.2684624733950471</v>
      </c>
      <c r="H72" s="6">
        <f t="shared" ca="1" si="41"/>
        <v>203.20572786882781</v>
      </c>
      <c r="I72" s="6">
        <f t="shared" ca="1" si="42"/>
        <v>192.09661500664487</v>
      </c>
      <c r="J72" s="6">
        <f t="shared" ca="1" si="43"/>
        <v>179.77511458384942</v>
      </c>
      <c r="K72" s="9">
        <f t="shared" ca="1" si="44"/>
        <v>188.82815253324981</v>
      </c>
      <c r="L72" s="6">
        <f t="shared" ca="1" si="34"/>
        <v>192.09661500664487</v>
      </c>
      <c r="M72" s="6">
        <f t="shared" ca="1" si="45"/>
        <v>0</v>
      </c>
      <c r="N72" s="6">
        <f t="shared" ca="1" si="46"/>
        <v>0</v>
      </c>
      <c r="O72" s="6">
        <f ca="1">COUNTIFS($C$2:C71,"&lt;="&amp;C72,$L$2:L71,"&gt;"&amp;C72)</f>
        <v>1</v>
      </c>
      <c r="P72" s="9">
        <f t="shared" ca="1" si="35"/>
        <v>0</v>
      </c>
      <c r="Q72" s="9">
        <f t="shared" ca="1" si="36"/>
        <v>0</v>
      </c>
      <c r="R72" s="9">
        <f t="shared" ca="1" si="37"/>
        <v>9.053037949400391</v>
      </c>
      <c r="S72">
        <f t="shared" ca="1" si="47"/>
        <v>0</v>
      </c>
      <c r="T72">
        <f t="shared" ca="1" si="48"/>
        <v>3.2684624733950471</v>
      </c>
      <c r="U72">
        <f t="shared" ca="1" si="49"/>
        <v>0</v>
      </c>
    </row>
    <row r="73" spans="1:21" ht="15" x14ac:dyDescent="0.3">
      <c r="A73" s="6">
        <v>72</v>
      </c>
      <c r="B73" s="6">
        <f t="shared" ca="1" si="38"/>
        <v>2.4891777393304366</v>
      </c>
      <c r="C73" s="9">
        <f t="shared" ca="1" si="39"/>
        <v>191.31733027258025</v>
      </c>
      <c r="D73" s="6">
        <f t="shared" ca="1" si="32"/>
        <v>0.52984164474673068</v>
      </c>
      <c r="E73" s="6" t="str">
        <f ca="1">LOOKUP(RAND(),{0,0.4,0.7,0.9},{"DEPOSIT","WITHDRAWAL","INQUIRY","LOAN"})</f>
        <v>INQUIRY</v>
      </c>
      <c r="F73" s="6" t="str">
        <f t="shared" ca="1" si="40"/>
        <v>t3</v>
      </c>
      <c r="G73" s="6">
        <f t="shared" ca="1" si="33"/>
        <v>2.5407084023095439</v>
      </c>
      <c r="H73" s="6">
        <f t="shared" ca="1" si="41"/>
        <v>203.20572786882781</v>
      </c>
      <c r="I73" s="6">
        <f t="shared" ca="1" si="42"/>
        <v>192.09661500664487</v>
      </c>
      <c r="J73" s="6">
        <f t="shared" ca="1" si="43"/>
        <v>193.8580386748898</v>
      </c>
      <c r="K73" s="9">
        <f t="shared" ca="1" si="44"/>
        <v>191.31733027258025</v>
      </c>
      <c r="L73" s="6">
        <f t="shared" ca="1" si="34"/>
        <v>193.8580386748898</v>
      </c>
      <c r="M73" s="6">
        <f t="shared" ca="1" si="45"/>
        <v>0</v>
      </c>
      <c r="N73" s="6">
        <f t="shared" ca="1" si="46"/>
        <v>0</v>
      </c>
      <c r="O73" s="6">
        <f ca="1">COUNTIFS($C$2:C72,"&lt;="&amp;C73,$L$2:L72,"&gt;"&amp;C73)</f>
        <v>2</v>
      </c>
      <c r="P73" s="9">
        <f t="shared" ca="1" si="35"/>
        <v>0</v>
      </c>
      <c r="Q73" s="9">
        <f t="shared" ca="1" si="36"/>
        <v>0</v>
      </c>
      <c r="R73" s="9">
        <f t="shared" ca="1" si="37"/>
        <v>0</v>
      </c>
      <c r="S73">
        <f t="shared" ca="1" si="47"/>
        <v>0</v>
      </c>
      <c r="T73">
        <f t="shared" ca="1" si="48"/>
        <v>0</v>
      </c>
      <c r="U73">
        <f t="shared" ca="1" si="49"/>
        <v>2.5407084023095439</v>
      </c>
    </row>
    <row r="74" spans="1:21" ht="15" x14ac:dyDescent="0.3">
      <c r="A74" s="6">
        <v>73</v>
      </c>
      <c r="B74" s="6">
        <f t="shared" ca="1" si="38"/>
        <v>5.473844614040714</v>
      </c>
      <c r="C74" s="9">
        <f t="shared" ca="1" si="39"/>
        <v>196.79117488662095</v>
      </c>
      <c r="D74" s="6">
        <f t="shared" ca="1" si="32"/>
        <v>0.97813196458876084</v>
      </c>
      <c r="E74" s="6" t="str">
        <f ca="1">LOOKUP(RAND(),{0,0.4,0.7,0.9},{"DEPOSIT","WITHDRAWAL","INQUIRY","LOAN"})</f>
        <v>INQUIRY</v>
      </c>
      <c r="F74" s="6" t="str">
        <f t="shared" ca="1" si="40"/>
        <v>t2</v>
      </c>
      <c r="G74" s="6">
        <f t="shared" ca="1" si="33"/>
        <v>1</v>
      </c>
      <c r="H74" s="6">
        <f t="shared" ca="1" si="41"/>
        <v>203.20572786882781</v>
      </c>
      <c r="I74" s="6">
        <f t="shared" ca="1" si="42"/>
        <v>197.79117488662095</v>
      </c>
      <c r="J74" s="6">
        <f t="shared" ca="1" si="43"/>
        <v>193.8580386748898</v>
      </c>
      <c r="K74" s="9">
        <f t="shared" ca="1" si="44"/>
        <v>196.79117488662095</v>
      </c>
      <c r="L74" s="6">
        <f t="shared" ca="1" si="34"/>
        <v>197.79117488662095</v>
      </c>
      <c r="M74" s="6">
        <f t="shared" ca="1" si="45"/>
        <v>0</v>
      </c>
      <c r="N74" s="6">
        <f t="shared" ca="1" si="46"/>
        <v>0</v>
      </c>
      <c r="O74" s="6">
        <f ca="1">COUNTIFS($C$2:C73,"&lt;="&amp;C74,$L$2:L73,"&gt;"&amp;C74)</f>
        <v>1</v>
      </c>
      <c r="P74" s="9">
        <f t="shared" ca="1" si="35"/>
        <v>0</v>
      </c>
      <c r="Q74" s="9">
        <f t="shared" ca="1" si="36"/>
        <v>0</v>
      </c>
      <c r="R74" s="9">
        <f t="shared" ca="1" si="37"/>
        <v>2.9331362117311528</v>
      </c>
      <c r="S74">
        <f t="shared" ca="1" si="47"/>
        <v>0</v>
      </c>
      <c r="T74">
        <f t="shared" ca="1" si="48"/>
        <v>1</v>
      </c>
      <c r="U74">
        <f t="shared" ca="1" si="49"/>
        <v>0</v>
      </c>
    </row>
    <row r="75" spans="1:21" ht="15" x14ac:dyDescent="0.3">
      <c r="A75" s="6">
        <v>74</v>
      </c>
      <c r="B75" s="6">
        <f t="shared" ca="1" si="38"/>
        <v>0.62380459164361723</v>
      </c>
      <c r="C75" s="9">
        <f t="shared" ca="1" si="39"/>
        <v>197.41497947826457</v>
      </c>
      <c r="D75" s="6">
        <f t="shared" ca="1" si="32"/>
        <v>0.4041008922283692</v>
      </c>
      <c r="E75" s="6" t="str">
        <f ca="1">LOOKUP(RAND(),{0,0.4,0.7,0.9},{"DEPOSIT","WITHDRAWAL","INQUIRY","LOAN"})</f>
        <v>WITHDRAWAL</v>
      </c>
      <c r="F75" s="6" t="str">
        <f t="shared" ca="1" si="40"/>
        <v>t3</v>
      </c>
      <c r="G75" s="6">
        <f t="shared" ca="1" si="33"/>
        <v>5.4365441937636234</v>
      </c>
      <c r="H75" s="6">
        <f t="shared" ca="1" si="41"/>
        <v>203.20572786882781</v>
      </c>
      <c r="I75" s="6">
        <f t="shared" ca="1" si="42"/>
        <v>197.79117488662095</v>
      </c>
      <c r="J75" s="6">
        <f t="shared" ca="1" si="43"/>
        <v>202.85152367202818</v>
      </c>
      <c r="K75" s="9">
        <f t="shared" ca="1" si="44"/>
        <v>197.41497947826457</v>
      </c>
      <c r="L75" s="6">
        <f t="shared" ca="1" si="34"/>
        <v>202.85152367202818</v>
      </c>
      <c r="M75" s="6">
        <f t="shared" ca="1" si="45"/>
        <v>0</v>
      </c>
      <c r="N75" s="6">
        <f t="shared" ca="1" si="46"/>
        <v>0</v>
      </c>
      <c r="O75" s="6">
        <f ca="1">COUNTIFS($C$2:C74,"&lt;="&amp;C75,$L$2:L74,"&gt;"&amp;C75)</f>
        <v>2</v>
      </c>
      <c r="P75" s="9">
        <f t="shared" ca="1" si="35"/>
        <v>0</v>
      </c>
      <c r="Q75" s="9">
        <f t="shared" ca="1" si="36"/>
        <v>0</v>
      </c>
      <c r="R75" s="9">
        <f t="shared" ca="1" si="37"/>
        <v>0</v>
      </c>
      <c r="S75">
        <f t="shared" ca="1" si="47"/>
        <v>0</v>
      </c>
      <c r="T75">
        <f t="shared" ca="1" si="48"/>
        <v>0</v>
      </c>
      <c r="U75">
        <f t="shared" ca="1" si="49"/>
        <v>5.4365441937636234</v>
      </c>
    </row>
    <row r="76" spans="1:21" ht="15" x14ac:dyDescent="0.3">
      <c r="A76" s="6">
        <v>75</v>
      </c>
      <c r="B76" s="6">
        <f t="shared" ca="1" si="38"/>
        <v>4.708741362391458</v>
      </c>
      <c r="C76" s="9">
        <f t="shared" ca="1" si="39"/>
        <v>202.12372084065603</v>
      </c>
      <c r="D76" s="6">
        <f t="shared" ca="1" si="32"/>
        <v>0.92741818386050956</v>
      </c>
      <c r="E76" s="6" t="str">
        <f ca="1">LOOKUP(RAND(),{0,0.4,0.7,0.9},{"DEPOSIT","WITHDRAWAL","INQUIRY","LOAN"})</f>
        <v>DEPOSIT</v>
      </c>
      <c r="F76" s="6" t="str">
        <f t="shared" ca="1" si="40"/>
        <v>t2</v>
      </c>
      <c r="G76" s="6">
        <f t="shared" ca="1" si="33"/>
        <v>1</v>
      </c>
      <c r="H76" s="6">
        <f t="shared" ca="1" si="41"/>
        <v>203.20572786882781</v>
      </c>
      <c r="I76" s="6">
        <f t="shared" ca="1" si="42"/>
        <v>203.12372084065603</v>
      </c>
      <c r="J76" s="6">
        <f t="shared" ca="1" si="43"/>
        <v>202.85152367202818</v>
      </c>
      <c r="K76" s="9">
        <f t="shared" ca="1" si="44"/>
        <v>202.12372084065603</v>
      </c>
      <c r="L76" s="6">
        <f t="shared" ca="1" si="34"/>
        <v>203.12372084065603</v>
      </c>
      <c r="M76" s="6">
        <f t="shared" ca="1" si="45"/>
        <v>0</v>
      </c>
      <c r="N76" s="6">
        <f t="shared" ca="1" si="46"/>
        <v>0</v>
      </c>
      <c r="O76" s="6">
        <f ca="1">COUNTIFS($C$2:C75,"&lt;="&amp;C76,$L$2:L75,"&gt;"&amp;C76)</f>
        <v>2</v>
      </c>
      <c r="P76" s="9">
        <f t="shared" ca="1" si="35"/>
        <v>0</v>
      </c>
      <c r="Q76" s="9">
        <f t="shared" ca="1" si="36"/>
        <v>0</v>
      </c>
      <c r="R76" s="9">
        <f t="shared" ca="1" si="37"/>
        <v>0</v>
      </c>
      <c r="S76">
        <f t="shared" ca="1" si="47"/>
        <v>0</v>
      </c>
      <c r="T76">
        <f t="shared" ca="1" si="48"/>
        <v>1</v>
      </c>
      <c r="U76">
        <f t="shared" ca="1" si="49"/>
        <v>0</v>
      </c>
    </row>
    <row r="77" spans="1:21" ht="15" x14ac:dyDescent="0.3">
      <c r="A77" s="6">
        <v>76</v>
      </c>
      <c r="B77" s="6">
        <f t="shared" ca="1" si="38"/>
        <v>7.9117424909551319</v>
      </c>
      <c r="C77" s="9">
        <f t="shared" ca="1" si="39"/>
        <v>210.03546333161117</v>
      </c>
      <c r="D77" s="6">
        <f t="shared" ca="1" si="32"/>
        <v>0.50371135217140306</v>
      </c>
      <c r="E77" s="6" t="str">
        <f ca="1">LOOKUP(RAND(),{0,0.4,0.7,0.9},{"DEPOSIT","WITHDRAWAL","INQUIRY","LOAN"})</f>
        <v>DEPOSIT</v>
      </c>
      <c r="F77" s="6" t="str">
        <f t="shared" ca="1" si="40"/>
        <v>t1</v>
      </c>
      <c r="G77" s="6">
        <f t="shared" ca="1" si="33"/>
        <v>3.4287594445983642</v>
      </c>
      <c r="H77" s="6">
        <f t="shared" ca="1" si="41"/>
        <v>213.46422277620954</v>
      </c>
      <c r="I77" s="6">
        <f t="shared" ca="1" si="42"/>
        <v>203.12372084065603</v>
      </c>
      <c r="J77" s="6">
        <f t="shared" ca="1" si="43"/>
        <v>202.85152367202818</v>
      </c>
      <c r="K77" s="9">
        <f t="shared" ca="1" si="44"/>
        <v>210.03546333161117</v>
      </c>
      <c r="L77" s="6">
        <f t="shared" ca="1" si="34"/>
        <v>213.46422277620954</v>
      </c>
      <c r="M77" s="6">
        <f t="shared" ca="1" si="45"/>
        <v>0</v>
      </c>
      <c r="N77" s="6">
        <f t="shared" ca="1" si="46"/>
        <v>0</v>
      </c>
      <c r="O77" s="6">
        <f ca="1">COUNTIFS($C$2:C76,"&lt;="&amp;C77,$L$2:L76,"&gt;"&amp;C77)</f>
        <v>0</v>
      </c>
      <c r="P77" s="9">
        <f t="shared" ca="1" si="35"/>
        <v>0</v>
      </c>
      <c r="Q77" s="9">
        <f t="shared" ca="1" si="36"/>
        <v>6.9117424909551346</v>
      </c>
      <c r="R77" s="9">
        <f t="shared" ca="1" si="37"/>
        <v>7.1839396595829896</v>
      </c>
      <c r="S77">
        <f t="shared" ca="1" si="47"/>
        <v>3.4287594445983642</v>
      </c>
      <c r="T77">
        <f t="shared" ca="1" si="48"/>
        <v>0</v>
      </c>
      <c r="U77">
        <f t="shared" ca="1" si="49"/>
        <v>0</v>
      </c>
    </row>
    <row r="78" spans="1:21" ht="15" x14ac:dyDescent="0.3">
      <c r="A78" s="6">
        <v>77</v>
      </c>
      <c r="B78" s="6">
        <f t="shared" ca="1" si="38"/>
        <v>2.1896613207381606</v>
      </c>
      <c r="C78" s="9">
        <f t="shared" ca="1" si="39"/>
        <v>212.22512465234934</v>
      </c>
      <c r="D78" s="6">
        <f t="shared" ca="1" si="32"/>
        <v>0.62482623777665469</v>
      </c>
      <c r="E78" s="6" t="str">
        <f ca="1">LOOKUP(RAND(),{0,0.4,0.7,0.9},{"DEPOSIT","WITHDRAWAL","INQUIRY","LOAN"})</f>
        <v>DEPOSIT</v>
      </c>
      <c r="F78" s="6" t="str">
        <f t="shared" ca="1" si="40"/>
        <v>t3</v>
      </c>
      <c r="G78" s="6">
        <f t="shared" ca="1" si="33"/>
        <v>2.3514084372884492</v>
      </c>
      <c r="H78" s="6">
        <f t="shared" ca="1" si="41"/>
        <v>213.46422277620954</v>
      </c>
      <c r="I78" s="6">
        <f t="shared" ca="1" si="42"/>
        <v>203.12372084065603</v>
      </c>
      <c r="J78" s="6">
        <f t="shared" ca="1" si="43"/>
        <v>214.57653308963779</v>
      </c>
      <c r="K78" s="9">
        <f t="shared" ca="1" si="44"/>
        <v>212.22512465234934</v>
      </c>
      <c r="L78" s="6">
        <f t="shared" ca="1" si="34"/>
        <v>214.57653308963779</v>
      </c>
      <c r="M78" s="6">
        <f t="shared" ca="1" si="45"/>
        <v>0</v>
      </c>
      <c r="N78" s="6">
        <f t="shared" ca="1" si="46"/>
        <v>0</v>
      </c>
      <c r="O78" s="6">
        <f ca="1">COUNTIFS($C$2:C77,"&lt;="&amp;C78,$L$2:L77,"&gt;"&amp;C78)</f>
        <v>1</v>
      </c>
      <c r="P78" s="9">
        <f t="shared" ca="1" si="35"/>
        <v>0</v>
      </c>
      <c r="Q78" s="9">
        <f t="shared" ca="1" si="36"/>
        <v>9.1014038116933023</v>
      </c>
      <c r="R78" s="9">
        <f t="shared" ca="1" si="37"/>
        <v>0</v>
      </c>
      <c r="S78">
        <f t="shared" ca="1" si="47"/>
        <v>0</v>
      </c>
      <c r="T78">
        <f t="shared" ca="1" si="48"/>
        <v>0</v>
      </c>
      <c r="U78">
        <f t="shared" ca="1" si="49"/>
        <v>2.3514084372884492</v>
      </c>
    </row>
    <row r="79" spans="1:21" ht="15" x14ac:dyDescent="0.3">
      <c r="A79" s="6">
        <v>78</v>
      </c>
      <c r="B79" s="6">
        <f t="shared" ca="1" si="38"/>
        <v>2.2239782002055501</v>
      </c>
      <c r="C79" s="9">
        <f t="shared" ca="1" si="39"/>
        <v>214.44910285255489</v>
      </c>
      <c r="D79" s="6">
        <f t="shared" ca="1" si="32"/>
        <v>0.70148194793868524</v>
      </c>
      <c r="E79" s="6" t="str">
        <f ca="1">LOOKUP(RAND(),{0,0.4,0.7,0.9},{"DEPOSIT","WITHDRAWAL","INQUIRY","LOAN"})</f>
        <v>LOAN</v>
      </c>
      <c r="F79" s="6" t="str">
        <f t="shared" ca="1" si="40"/>
        <v>t2</v>
      </c>
      <c r="G79" s="6">
        <f t="shared" ca="1" si="33"/>
        <v>4.2547213594380846</v>
      </c>
      <c r="H79" s="6">
        <f t="shared" ca="1" si="41"/>
        <v>213.46422277620954</v>
      </c>
      <c r="I79" s="6">
        <f t="shared" ca="1" si="42"/>
        <v>218.70382421199298</v>
      </c>
      <c r="J79" s="6">
        <f t="shared" ca="1" si="43"/>
        <v>214.57653308963779</v>
      </c>
      <c r="K79" s="9">
        <f t="shared" ca="1" si="44"/>
        <v>214.44910285255489</v>
      </c>
      <c r="L79" s="6">
        <f t="shared" ca="1" si="34"/>
        <v>218.70382421199298</v>
      </c>
      <c r="M79" s="6">
        <f t="shared" ca="1" si="45"/>
        <v>0</v>
      </c>
      <c r="N79" s="6">
        <f t="shared" ca="1" si="46"/>
        <v>0</v>
      </c>
      <c r="O79" s="6">
        <f ca="1">COUNTIFS($C$2:C78,"&lt;="&amp;C79,$L$2:L78,"&gt;"&amp;C79)</f>
        <v>1</v>
      </c>
      <c r="P79" s="9">
        <f t="shared" ca="1" si="35"/>
        <v>0.98488007634534824</v>
      </c>
      <c r="Q79" s="9">
        <f t="shared" ca="1" si="36"/>
        <v>0</v>
      </c>
      <c r="R79" s="9">
        <f t="shared" ca="1" si="37"/>
        <v>0</v>
      </c>
      <c r="S79">
        <f t="shared" ca="1" si="47"/>
        <v>0</v>
      </c>
      <c r="T79">
        <f t="shared" ca="1" si="48"/>
        <v>4.2547213594380846</v>
      </c>
      <c r="U79">
        <f t="shared" ca="1" si="49"/>
        <v>0</v>
      </c>
    </row>
    <row r="80" spans="1:21" ht="15" x14ac:dyDescent="0.3">
      <c r="A80" s="6">
        <v>79</v>
      </c>
      <c r="B80" s="6">
        <f t="shared" ca="1" si="38"/>
        <v>0.28758016397238312</v>
      </c>
      <c r="C80" s="9">
        <f t="shared" ca="1" si="39"/>
        <v>214.73668301652728</v>
      </c>
      <c r="D80" s="6">
        <f t="shared" ca="1" si="32"/>
        <v>0.34852969616039675</v>
      </c>
      <c r="E80" s="6" t="str">
        <f ca="1">LOOKUP(RAND(),{0,0.4,0.7,0.9},{"DEPOSIT","WITHDRAWAL","INQUIRY","LOAN"})</f>
        <v>DEPOSIT</v>
      </c>
      <c r="F80" s="6" t="str">
        <f t="shared" ca="1" si="40"/>
        <v>t1</v>
      </c>
      <c r="G80" s="6">
        <f t="shared" ca="1" si="33"/>
        <v>5.2701592052385893</v>
      </c>
      <c r="H80" s="6">
        <f t="shared" ca="1" si="41"/>
        <v>220.00684222176588</v>
      </c>
      <c r="I80" s="6">
        <f t="shared" ca="1" si="42"/>
        <v>218.70382421199298</v>
      </c>
      <c r="J80" s="6">
        <f t="shared" ca="1" si="43"/>
        <v>214.57653308963779</v>
      </c>
      <c r="K80" s="9">
        <f t="shared" ca="1" si="44"/>
        <v>214.73668301652728</v>
      </c>
      <c r="L80" s="6">
        <f t="shared" ca="1" si="34"/>
        <v>220.00684222176588</v>
      </c>
      <c r="M80" s="6">
        <f t="shared" ca="1" si="45"/>
        <v>0</v>
      </c>
      <c r="N80" s="6">
        <f t="shared" ca="1" si="46"/>
        <v>0</v>
      </c>
      <c r="O80" s="6">
        <f ca="1">COUNTIFS($C$2:C79,"&lt;="&amp;C80,$L$2:L79,"&gt;"&amp;C80)</f>
        <v>1</v>
      </c>
      <c r="P80" s="9">
        <f t="shared" ca="1" si="35"/>
        <v>0</v>
      </c>
      <c r="Q80" s="9">
        <f t="shared" ca="1" si="36"/>
        <v>0</v>
      </c>
      <c r="R80" s="9">
        <f t="shared" ca="1" si="37"/>
        <v>0.16014992688948837</v>
      </c>
      <c r="S80">
        <f t="shared" ca="1" si="47"/>
        <v>5.2701592052385893</v>
      </c>
      <c r="T80">
        <f t="shared" ca="1" si="48"/>
        <v>0</v>
      </c>
      <c r="U80">
        <f t="shared" ca="1" si="49"/>
        <v>0</v>
      </c>
    </row>
    <row r="81" spans="1:21" ht="15" x14ac:dyDescent="0.3">
      <c r="A81" s="6">
        <v>80</v>
      </c>
      <c r="B81" s="6">
        <f t="shared" ca="1" si="38"/>
        <v>5.0677786017110362</v>
      </c>
      <c r="C81" s="9">
        <f t="shared" ca="1" si="39"/>
        <v>219.80446161823832</v>
      </c>
      <c r="D81" s="6">
        <f t="shared" ca="1" si="32"/>
        <v>0.9439361059191913</v>
      </c>
      <c r="E81" s="6" t="str">
        <f ca="1">LOOKUP(RAND(),{0,0.4,0.7,0.9},{"DEPOSIT","WITHDRAWAL","INQUIRY","LOAN"})</f>
        <v>LOAN</v>
      </c>
      <c r="F81" s="6" t="str">
        <f t="shared" ca="1" si="40"/>
        <v>t3</v>
      </c>
      <c r="G81" s="6">
        <f t="shared" ca="1" si="33"/>
        <v>1</v>
      </c>
      <c r="H81" s="6">
        <f t="shared" ca="1" si="41"/>
        <v>220.00684222176588</v>
      </c>
      <c r="I81" s="6">
        <f t="shared" ca="1" si="42"/>
        <v>218.70382421199298</v>
      </c>
      <c r="J81" s="6">
        <f t="shared" ca="1" si="43"/>
        <v>220.80446161823832</v>
      </c>
      <c r="K81" s="9">
        <f t="shared" ca="1" si="44"/>
        <v>219.80446161823832</v>
      </c>
      <c r="L81" s="6">
        <f t="shared" ca="1" si="34"/>
        <v>220.80446161823832</v>
      </c>
      <c r="M81" s="6">
        <f t="shared" ca="1" si="45"/>
        <v>0</v>
      </c>
      <c r="N81" s="6">
        <f t="shared" ca="1" si="46"/>
        <v>0</v>
      </c>
      <c r="O81" s="6">
        <f ca="1">COUNTIFS($C$2:C80,"&lt;="&amp;C81,$L$2:L80,"&gt;"&amp;C81)</f>
        <v>1</v>
      </c>
      <c r="P81" s="9">
        <f t="shared" ca="1" si="35"/>
        <v>0</v>
      </c>
      <c r="Q81" s="9">
        <f t="shared" ca="1" si="36"/>
        <v>1.1006374062453403</v>
      </c>
      <c r="R81" s="9">
        <f t="shared" ca="1" si="37"/>
        <v>0</v>
      </c>
      <c r="S81">
        <f t="shared" ca="1" si="47"/>
        <v>0</v>
      </c>
      <c r="T81">
        <f t="shared" ca="1" si="48"/>
        <v>0</v>
      </c>
      <c r="U81">
        <f t="shared" ca="1" si="49"/>
        <v>1</v>
      </c>
    </row>
    <row r="82" spans="1:21" ht="15" x14ac:dyDescent="0.3">
      <c r="A82" s="6">
        <v>81</v>
      </c>
      <c r="B82" s="6">
        <f t="shared" ca="1" si="38"/>
        <v>5.7857316898404436</v>
      </c>
      <c r="C82" s="9">
        <f t="shared" ca="1" si="39"/>
        <v>225.59019330807877</v>
      </c>
      <c r="D82" s="6">
        <f t="shared" ca="1" si="32"/>
        <v>0.5161162669647873</v>
      </c>
      <c r="E82" s="6" t="str">
        <f ca="1">LOOKUP(RAND(),{0,0.4,0.7,0.9},{"DEPOSIT","WITHDRAWAL","INQUIRY","LOAN"})</f>
        <v>INQUIRY</v>
      </c>
      <c r="F82" s="6" t="str">
        <f t="shared" ca="1" si="40"/>
        <v>t1</v>
      </c>
      <c r="G82" s="6">
        <f t="shared" ca="1" si="33"/>
        <v>2.645692861227797</v>
      </c>
      <c r="H82" s="6">
        <f t="shared" ca="1" si="41"/>
        <v>228.23588616930655</v>
      </c>
      <c r="I82" s="6">
        <f t="shared" ca="1" si="42"/>
        <v>218.70382421199298</v>
      </c>
      <c r="J82" s="6">
        <f t="shared" ca="1" si="43"/>
        <v>220.80446161823832</v>
      </c>
      <c r="K82" s="9">
        <f t="shared" ca="1" si="44"/>
        <v>225.59019330807877</v>
      </c>
      <c r="L82" s="6">
        <f t="shared" ca="1" si="34"/>
        <v>228.23588616930655</v>
      </c>
      <c r="M82" s="6">
        <f t="shared" ca="1" si="45"/>
        <v>0</v>
      </c>
      <c r="N82" s="6">
        <f t="shared" ca="1" si="46"/>
        <v>0</v>
      </c>
      <c r="O82" s="6">
        <f ca="1">COUNTIFS($C$2:C81,"&lt;="&amp;C82,$L$2:L81,"&gt;"&amp;C82)</f>
        <v>0</v>
      </c>
      <c r="P82" s="9">
        <f t="shared" ca="1" si="35"/>
        <v>0</v>
      </c>
      <c r="Q82" s="9">
        <f t="shared" ca="1" si="36"/>
        <v>6.8863690960857866</v>
      </c>
      <c r="R82" s="9">
        <f t="shared" ca="1" si="37"/>
        <v>4.7857316898404463</v>
      </c>
      <c r="S82">
        <f t="shared" ca="1" si="47"/>
        <v>2.645692861227797</v>
      </c>
      <c r="T82">
        <f t="shared" ca="1" si="48"/>
        <v>0</v>
      </c>
      <c r="U82">
        <f t="shared" ca="1" si="49"/>
        <v>0</v>
      </c>
    </row>
    <row r="83" spans="1:21" ht="15" x14ac:dyDescent="0.3">
      <c r="A83" s="6">
        <v>82</v>
      </c>
      <c r="B83" s="6">
        <f t="shared" ca="1" si="38"/>
        <v>1.1523476284358098</v>
      </c>
      <c r="C83" s="9">
        <f t="shared" ca="1" si="39"/>
        <v>226.74254093651459</v>
      </c>
      <c r="D83" s="6">
        <f t="shared" ca="1" si="32"/>
        <v>0.79613167169587595</v>
      </c>
      <c r="E83" s="6" t="str">
        <f ca="1">LOOKUP(RAND(),{0,0.4,0.7,0.9},{"DEPOSIT","WITHDRAWAL","INQUIRY","LOAN"})</f>
        <v>WITHDRAWAL</v>
      </c>
      <c r="F83" s="6" t="str">
        <f t="shared" ca="1" si="40"/>
        <v>t2</v>
      </c>
      <c r="G83" s="6">
        <f t="shared" ca="1" si="33"/>
        <v>1.3679441406853596</v>
      </c>
      <c r="H83" s="6">
        <f t="shared" ca="1" si="41"/>
        <v>228.23588616930655</v>
      </c>
      <c r="I83" s="6">
        <f t="shared" ca="1" si="42"/>
        <v>228.11048507719994</v>
      </c>
      <c r="J83" s="6">
        <f t="shared" ca="1" si="43"/>
        <v>220.80446161823832</v>
      </c>
      <c r="K83" s="9">
        <f t="shared" ca="1" si="44"/>
        <v>226.74254093651459</v>
      </c>
      <c r="L83" s="6">
        <f t="shared" ca="1" si="34"/>
        <v>228.11048507719994</v>
      </c>
      <c r="M83" s="6">
        <f t="shared" ca="1" si="45"/>
        <v>0</v>
      </c>
      <c r="N83" s="6">
        <f t="shared" ca="1" si="46"/>
        <v>0</v>
      </c>
      <c r="O83" s="6">
        <f ca="1">COUNTIFS($C$2:C82,"&lt;="&amp;C83,$L$2:L82,"&gt;"&amp;C83)</f>
        <v>1</v>
      </c>
      <c r="P83" s="9">
        <f t="shared" ca="1" si="35"/>
        <v>0</v>
      </c>
      <c r="Q83" s="9">
        <f t="shared" ca="1" si="36"/>
        <v>0</v>
      </c>
      <c r="R83" s="9">
        <f t="shared" ca="1" si="37"/>
        <v>5.9380793182762659</v>
      </c>
      <c r="S83">
        <f t="shared" ca="1" si="47"/>
        <v>0</v>
      </c>
      <c r="T83">
        <f t="shared" ca="1" si="48"/>
        <v>1.3679441406853596</v>
      </c>
      <c r="U83">
        <f t="shared" ca="1" si="49"/>
        <v>0</v>
      </c>
    </row>
    <row r="84" spans="1:21" ht="15" x14ac:dyDescent="0.3">
      <c r="A84" s="6">
        <v>83</v>
      </c>
      <c r="B84" s="6">
        <f t="shared" ca="1" si="38"/>
        <v>2.3072637106030491</v>
      </c>
      <c r="C84" s="9">
        <f t="shared" ca="1" si="39"/>
        <v>229.04980464711764</v>
      </c>
      <c r="D84" s="6">
        <f t="shared" ca="1" si="32"/>
        <v>0.91857607034744004</v>
      </c>
      <c r="E84" s="6" t="str">
        <f ca="1">LOOKUP(RAND(),{0,0.4,0.7,0.9},{"DEPOSIT","WITHDRAWAL","INQUIRY","LOAN"})</f>
        <v>WITHDRAWAL</v>
      </c>
      <c r="F84" s="6" t="str">
        <f t="shared" ca="1" si="40"/>
        <v>t1</v>
      </c>
      <c r="G84" s="6">
        <f t="shared" ca="1" si="33"/>
        <v>1</v>
      </c>
      <c r="H84" s="6">
        <f t="shared" ca="1" si="41"/>
        <v>230.04980464711764</v>
      </c>
      <c r="I84" s="6">
        <f t="shared" ca="1" si="42"/>
        <v>228.11048507719994</v>
      </c>
      <c r="J84" s="6">
        <f t="shared" ca="1" si="43"/>
        <v>220.80446161823832</v>
      </c>
      <c r="K84" s="9">
        <f t="shared" ca="1" si="44"/>
        <v>229.04980464711764</v>
      </c>
      <c r="L84" s="6">
        <f t="shared" ca="1" si="34"/>
        <v>230.04980464711764</v>
      </c>
      <c r="M84" s="6">
        <f t="shared" ca="1" si="45"/>
        <v>0</v>
      </c>
      <c r="N84" s="6">
        <f t="shared" ca="1" si="46"/>
        <v>0</v>
      </c>
      <c r="O84" s="6">
        <f ca="1">COUNTIFS($C$2:C83,"&lt;="&amp;C84,$L$2:L83,"&gt;"&amp;C84)</f>
        <v>0</v>
      </c>
      <c r="P84" s="9">
        <f t="shared" ca="1" si="35"/>
        <v>0</v>
      </c>
      <c r="Q84" s="9">
        <f t="shared" ca="1" si="36"/>
        <v>0.93931956991769994</v>
      </c>
      <c r="R84" s="9">
        <f t="shared" ca="1" si="37"/>
        <v>8.2453430288793186</v>
      </c>
      <c r="S84">
        <f t="shared" ca="1" si="47"/>
        <v>1</v>
      </c>
      <c r="T84">
        <f t="shared" ca="1" si="48"/>
        <v>0</v>
      </c>
      <c r="U84">
        <f t="shared" ca="1" si="49"/>
        <v>0</v>
      </c>
    </row>
    <row r="85" spans="1:21" ht="15" x14ac:dyDescent="0.3">
      <c r="A85" s="6">
        <v>84</v>
      </c>
      <c r="B85" s="6">
        <f t="shared" ca="1" si="38"/>
        <v>2.1221218527767682</v>
      </c>
      <c r="C85" s="9">
        <f t="shared" ca="1" si="39"/>
        <v>231.1719264998944</v>
      </c>
      <c r="D85" s="6">
        <f t="shared" ca="1" si="32"/>
        <v>0.68181746115960451</v>
      </c>
      <c r="E85" s="6" t="str">
        <f ca="1">LOOKUP(RAND(),{0,0.4,0.7,0.9},{"DEPOSIT","WITHDRAWAL","INQUIRY","LOAN"})</f>
        <v>DEPOSIT</v>
      </c>
      <c r="F85" s="6" t="str">
        <f t="shared" ca="1" si="40"/>
        <v>t1</v>
      </c>
      <c r="G85" s="6">
        <f t="shared" ca="1" si="33"/>
        <v>1.9149665461128886</v>
      </c>
      <c r="H85" s="6">
        <f t="shared" ca="1" si="41"/>
        <v>233.08689304600728</v>
      </c>
      <c r="I85" s="6">
        <f t="shared" ca="1" si="42"/>
        <v>228.11048507719994</v>
      </c>
      <c r="J85" s="6">
        <f t="shared" ca="1" si="43"/>
        <v>220.80446161823832</v>
      </c>
      <c r="K85" s="9">
        <f t="shared" ca="1" si="44"/>
        <v>231.1719264998944</v>
      </c>
      <c r="L85" s="6">
        <f t="shared" ca="1" si="34"/>
        <v>233.08689304600728</v>
      </c>
      <c r="M85" s="6">
        <f t="shared" ca="1" si="45"/>
        <v>0</v>
      </c>
      <c r="N85" s="6">
        <f t="shared" ca="1" si="46"/>
        <v>0</v>
      </c>
      <c r="O85" s="6">
        <f ca="1">COUNTIFS($C$2:C84,"&lt;="&amp;C85,$L$2:L84,"&gt;"&amp;C85)</f>
        <v>0</v>
      </c>
      <c r="P85" s="9">
        <f t="shared" ca="1" si="35"/>
        <v>0</v>
      </c>
      <c r="Q85" s="9">
        <f t="shared" ca="1" si="36"/>
        <v>3.0614414226944575</v>
      </c>
      <c r="R85" s="9">
        <f t="shared" ca="1" si="37"/>
        <v>10.367464881656076</v>
      </c>
      <c r="S85">
        <f t="shared" ca="1" si="47"/>
        <v>1.9149665461128886</v>
      </c>
      <c r="T85">
        <f t="shared" ca="1" si="48"/>
        <v>0</v>
      </c>
      <c r="U85">
        <f t="shared" ca="1" si="49"/>
        <v>0</v>
      </c>
    </row>
    <row r="86" spans="1:21" ht="15" x14ac:dyDescent="0.3">
      <c r="A86" s="6">
        <v>85</v>
      </c>
      <c r="B86" s="6">
        <f t="shared" ca="1" si="38"/>
        <v>1.5445908996679369</v>
      </c>
      <c r="C86" s="9">
        <f t="shared" ca="1" si="39"/>
        <v>232.71651739956232</v>
      </c>
      <c r="D86" s="6">
        <f t="shared" ca="1" si="32"/>
        <v>4.3659499331971441E-2</v>
      </c>
      <c r="E86" s="6" t="str">
        <f ca="1">LOOKUP(RAND(),{0,0.4,0.7,0.9},{"DEPOSIT","WITHDRAWAL","INQUIRY","LOAN"})</f>
        <v>WITHDRAWAL</v>
      </c>
      <c r="F86" s="6" t="str">
        <f t="shared" ca="1" si="40"/>
        <v>t3</v>
      </c>
      <c r="G86" s="6">
        <f t="shared" ca="1" si="33"/>
        <v>18.788006372141318</v>
      </c>
      <c r="H86" s="6">
        <f t="shared" ca="1" si="41"/>
        <v>233.08689304600728</v>
      </c>
      <c r="I86" s="6">
        <f t="shared" ca="1" si="42"/>
        <v>228.11048507719994</v>
      </c>
      <c r="J86" s="6">
        <f t="shared" ca="1" si="43"/>
        <v>251.50452377170365</v>
      </c>
      <c r="K86" s="9">
        <f t="shared" ca="1" si="44"/>
        <v>232.71651739956232</v>
      </c>
      <c r="L86" s="6">
        <f t="shared" ca="1" si="34"/>
        <v>251.50452377170365</v>
      </c>
      <c r="M86" s="6">
        <f t="shared" ca="1" si="45"/>
        <v>0</v>
      </c>
      <c r="N86" s="6">
        <f t="shared" ca="1" si="46"/>
        <v>0</v>
      </c>
      <c r="O86" s="6">
        <f ca="1">COUNTIFS($C$2:C85,"&lt;="&amp;C86,$L$2:L85,"&gt;"&amp;C86)</f>
        <v>1</v>
      </c>
      <c r="P86" s="9">
        <f t="shared" ca="1" si="35"/>
        <v>0</v>
      </c>
      <c r="Q86" s="9">
        <f t="shared" ca="1" si="36"/>
        <v>4.6060323223623811</v>
      </c>
      <c r="R86" s="9">
        <f t="shared" ca="1" si="37"/>
        <v>0</v>
      </c>
      <c r="S86">
        <f t="shared" ca="1" si="47"/>
        <v>0</v>
      </c>
      <c r="T86">
        <f t="shared" ca="1" si="48"/>
        <v>0</v>
      </c>
      <c r="U86">
        <f t="shared" ca="1" si="49"/>
        <v>18.788006372141318</v>
      </c>
    </row>
    <row r="87" spans="1:21" ht="15" x14ac:dyDescent="0.3">
      <c r="A87" s="6">
        <v>86</v>
      </c>
      <c r="B87" s="6">
        <f t="shared" ca="1" si="38"/>
        <v>0.87220155396572818</v>
      </c>
      <c r="C87" s="9">
        <f t="shared" ca="1" si="39"/>
        <v>233.58871895352806</v>
      </c>
      <c r="D87" s="6">
        <f t="shared" ca="1" si="32"/>
        <v>0.2741718532218107</v>
      </c>
      <c r="E87" s="6" t="str">
        <f ca="1">LOOKUP(RAND(),{0,0.4,0.7,0.9},{"DEPOSIT","WITHDRAWAL","INQUIRY","LOAN"})</f>
        <v>DEPOSIT</v>
      </c>
      <c r="F87" s="6" t="str">
        <f t="shared" ca="1" si="40"/>
        <v>t2</v>
      </c>
      <c r="G87" s="6">
        <f t="shared" ca="1" si="33"/>
        <v>6.4700008383164631</v>
      </c>
      <c r="H87" s="6">
        <f t="shared" ca="1" si="41"/>
        <v>233.08689304600728</v>
      </c>
      <c r="I87" s="6">
        <f t="shared" ca="1" si="42"/>
        <v>240.05871979184451</v>
      </c>
      <c r="J87" s="6">
        <f t="shared" ca="1" si="43"/>
        <v>251.50452377170365</v>
      </c>
      <c r="K87" s="9">
        <f t="shared" ca="1" si="44"/>
        <v>233.58871895352806</v>
      </c>
      <c r="L87" s="6">
        <f t="shared" ca="1" si="34"/>
        <v>240.05871979184451</v>
      </c>
      <c r="M87" s="6">
        <f t="shared" ca="1" si="45"/>
        <v>0</v>
      </c>
      <c r="N87" s="6">
        <f t="shared" ca="1" si="46"/>
        <v>0</v>
      </c>
      <c r="O87" s="6">
        <f ca="1">COUNTIFS($C$2:C86,"&lt;="&amp;C87,$L$2:L86,"&gt;"&amp;C87)</f>
        <v>1</v>
      </c>
      <c r="P87" s="9">
        <f t="shared" ca="1" si="35"/>
        <v>0.50182590752078227</v>
      </c>
      <c r="Q87" s="9">
        <f t="shared" ca="1" si="36"/>
        <v>0</v>
      </c>
      <c r="R87" s="9">
        <f t="shared" ca="1" si="37"/>
        <v>0</v>
      </c>
      <c r="S87">
        <f t="shared" ca="1" si="47"/>
        <v>0</v>
      </c>
      <c r="T87">
        <f t="shared" ca="1" si="48"/>
        <v>6.4700008383164631</v>
      </c>
      <c r="U87">
        <f t="shared" ca="1" si="49"/>
        <v>0</v>
      </c>
    </row>
    <row r="88" spans="1:21" ht="15" x14ac:dyDescent="0.3">
      <c r="A88" s="6">
        <v>87</v>
      </c>
      <c r="B88" s="6">
        <f t="shared" ca="1" si="38"/>
        <v>1.4978218994557024</v>
      </c>
      <c r="C88" s="9">
        <f t="shared" ca="1" si="39"/>
        <v>235.08654085298377</v>
      </c>
      <c r="D88" s="6">
        <f t="shared" ca="1" si="32"/>
        <v>0.22344495301262213</v>
      </c>
      <c r="E88" s="6" t="str">
        <f ca="1">LOOKUP(RAND(),{0,0.4,0.7,0.9},{"DEPOSIT","WITHDRAWAL","INQUIRY","LOAN"})</f>
        <v>DEPOSIT</v>
      </c>
      <c r="F88" s="6" t="str">
        <f t="shared" ca="1" si="40"/>
        <v>t1</v>
      </c>
      <c r="G88" s="6">
        <f t="shared" ca="1" si="33"/>
        <v>7.4929509525485365</v>
      </c>
      <c r="H88" s="6">
        <f t="shared" ca="1" si="41"/>
        <v>242.57949180553231</v>
      </c>
      <c r="I88" s="6">
        <f t="shared" ca="1" si="42"/>
        <v>240.05871979184451</v>
      </c>
      <c r="J88" s="6">
        <f t="shared" ca="1" si="43"/>
        <v>251.50452377170365</v>
      </c>
      <c r="K88" s="9">
        <f t="shared" ca="1" si="44"/>
        <v>235.08654085298377</v>
      </c>
      <c r="L88" s="6">
        <f t="shared" ca="1" si="34"/>
        <v>242.57949180553231</v>
      </c>
      <c r="M88" s="6">
        <f t="shared" ca="1" si="45"/>
        <v>0</v>
      </c>
      <c r="N88" s="6">
        <f t="shared" ca="1" si="46"/>
        <v>0</v>
      </c>
      <c r="O88" s="6">
        <f ca="1">COUNTIFS($C$2:C87,"&lt;="&amp;C88,$L$2:L87,"&gt;"&amp;C88)</f>
        <v>2</v>
      </c>
      <c r="P88" s="9">
        <f t="shared" ca="1" si="35"/>
        <v>0</v>
      </c>
      <c r="Q88" s="9">
        <f t="shared" ca="1" si="36"/>
        <v>0</v>
      </c>
      <c r="R88" s="9">
        <f t="shared" ca="1" si="37"/>
        <v>0</v>
      </c>
      <c r="S88">
        <f t="shared" ca="1" si="47"/>
        <v>7.4929509525485365</v>
      </c>
      <c r="T88">
        <f t="shared" ca="1" si="48"/>
        <v>0</v>
      </c>
      <c r="U88">
        <f t="shared" ca="1" si="49"/>
        <v>0</v>
      </c>
    </row>
    <row r="89" spans="1:21" ht="15" x14ac:dyDescent="0.3">
      <c r="A89" s="6">
        <v>88</v>
      </c>
      <c r="B89" s="6">
        <f t="shared" ca="1" si="38"/>
        <v>0.84618723423048037</v>
      </c>
      <c r="C89" s="9">
        <f t="shared" ca="1" si="39"/>
        <v>235.93272808721426</v>
      </c>
      <c r="D89" s="6">
        <f t="shared" ca="1" si="32"/>
        <v>4.1229189029704627E-2</v>
      </c>
      <c r="E89" s="6" t="str">
        <f ca="1">LOOKUP(RAND(),{0,0.4,0.7,0.9},{"DEPOSIT","WITHDRAWAL","INQUIRY","LOAN"})</f>
        <v>LOAN</v>
      </c>
      <c r="F89" s="6" t="str">
        <f t="shared" ca="1" si="40"/>
        <v>t2</v>
      </c>
      <c r="G89" s="6">
        <f t="shared" ca="1" si="33"/>
        <v>38.263305622552949</v>
      </c>
      <c r="H89" s="6">
        <f t="shared" ca="1" si="41"/>
        <v>242.57949180553231</v>
      </c>
      <c r="I89" s="6">
        <f t="shared" ca="1" si="42"/>
        <v>278.32202541439744</v>
      </c>
      <c r="J89" s="6">
        <f t="shared" ca="1" si="43"/>
        <v>251.50452377170365</v>
      </c>
      <c r="K89" s="9">
        <f t="shared" ca="1" si="44"/>
        <v>240.05871979184451</v>
      </c>
      <c r="L89" s="6">
        <f t="shared" ca="1" si="34"/>
        <v>278.32202541439744</v>
      </c>
      <c r="M89" s="6">
        <f t="shared" ca="1" si="45"/>
        <v>4.1259917046302519</v>
      </c>
      <c r="N89" s="6">
        <f t="shared" ca="1" si="46"/>
        <v>1</v>
      </c>
      <c r="O89" s="6">
        <f ca="1">COUNTIFS($C$2:C88,"&lt;="&amp;C89,$L$2:L88,"&gt;"&amp;C89)</f>
        <v>3</v>
      </c>
      <c r="P89" s="9">
        <f t="shared" ca="1" si="35"/>
        <v>0</v>
      </c>
      <c r="Q89" s="9">
        <f t="shared" ca="1" si="36"/>
        <v>0</v>
      </c>
      <c r="R89" s="9">
        <f t="shared" ca="1" si="37"/>
        <v>0</v>
      </c>
      <c r="S89">
        <f t="shared" ca="1" si="47"/>
        <v>0</v>
      </c>
      <c r="T89">
        <f t="shared" ca="1" si="48"/>
        <v>38.263305622552949</v>
      </c>
      <c r="U89">
        <f t="shared" ca="1" si="49"/>
        <v>0</v>
      </c>
    </row>
    <row r="90" spans="1:21" ht="15" x14ac:dyDescent="0.3">
      <c r="A90" s="6">
        <v>89</v>
      </c>
      <c r="B90" s="6">
        <f t="shared" ca="1" si="38"/>
        <v>4.2274599825805135</v>
      </c>
      <c r="C90" s="9">
        <f t="shared" ca="1" si="39"/>
        <v>240.16018806979477</v>
      </c>
      <c r="D90" s="6">
        <f t="shared" ca="1" si="32"/>
        <v>7.8355130896145209E-2</v>
      </c>
      <c r="E90" s="6" t="str">
        <f ca="1">LOOKUP(RAND(),{0,0.4,0.7,0.9},{"DEPOSIT","WITHDRAWAL","INQUIRY","LOAN"})</f>
        <v>DEPOSIT</v>
      </c>
      <c r="F90" s="6" t="str">
        <f t="shared" ca="1" si="40"/>
        <v>t1</v>
      </c>
      <c r="G90" s="6">
        <f t="shared" ca="1" si="33"/>
        <v>12.732519127279005</v>
      </c>
      <c r="H90" s="6">
        <f t="shared" ca="1" si="41"/>
        <v>255.31201093281132</v>
      </c>
      <c r="I90" s="6">
        <f t="shared" ca="1" si="42"/>
        <v>278.32202541439744</v>
      </c>
      <c r="J90" s="6">
        <f t="shared" ca="1" si="43"/>
        <v>251.50452377170365</v>
      </c>
      <c r="K90" s="9">
        <f t="shared" ca="1" si="44"/>
        <v>242.57949180553231</v>
      </c>
      <c r="L90" s="6">
        <f t="shared" ca="1" si="34"/>
        <v>255.31201093281132</v>
      </c>
      <c r="M90" s="6">
        <f t="shared" ca="1" si="45"/>
        <v>2.4193037357375431</v>
      </c>
      <c r="N90" s="6">
        <f t="shared" ca="1" si="46"/>
        <v>1</v>
      </c>
      <c r="O90" s="6">
        <f ca="1">COUNTIFS($C$2:C89,"&lt;="&amp;C90,$L$2:L89,"&gt;"&amp;C90)</f>
        <v>3</v>
      </c>
      <c r="P90" s="9">
        <f t="shared" ca="1" si="35"/>
        <v>0</v>
      </c>
      <c r="Q90" s="9">
        <f t="shared" ca="1" si="36"/>
        <v>0</v>
      </c>
      <c r="R90" s="9">
        <f t="shared" ca="1" si="37"/>
        <v>0</v>
      </c>
      <c r="S90">
        <f t="shared" ca="1" si="47"/>
        <v>12.732519127279005</v>
      </c>
      <c r="T90">
        <f t="shared" ca="1" si="48"/>
        <v>0</v>
      </c>
      <c r="U90">
        <f t="shared" ca="1" si="49"/>
        <v>0</v>
      </c>
    </row>
    <row r="91" spans="1:21" ht="15" x14ac:dyDescent="0.3">
      <c r="A91" s="6">
        <v>90</v>
      </c>
      <c r="B91" s="6">
        <f t="shared" ca="1" si="38"/>
        <v>7.5230309442287115</v>
      </c>
      <c r="C91" s="9">
        <f t="shared" ca="1" si="39"/>
        <v>247.68321901402348</v>
      </c>
      <c r="D91" s="6">
        <f t="shared" ca="1" si="32"/>
        <v>0.62635740591546818</v>
      </c>
      <c r="E91" s="6" t="str">
        <f ca="1">LOOKUP(RAND(),{0,0.4,0.7,0.9},{"DEPOSIT","WITHDRAWAL","INQUIRY","LOAN"})</f>
        <v>DEPOSIT</v>
      </c>
      <c r="F91" s="6" t="str">
        <f t="shared" ca="1" si="40"/>
        <v>t3</v>
      </c>
      <c r="G91" s="6">
        <f t="shared" ca="1" si="33"/>
        <v>2.3391706741838361</v>
      </c>
      <c r="H91" s="6">
        <f t="shared" ca="1" si="41"/>
        <v>255.31201093281132</v>
      </c>
      <c r="I91" s="6">
        <f t="shared" ca="1" si="42"/>
        <v>278.32202541439744</v>
      </c>
      <c r="J91" s="6">
        <f t="shared" ca="1" si="43"/>
        <v>253.84369444588748</v>
      </c>
      <c r="K91" s="9">
        <f t="shared" ca="1" si="44"/>
        <v>251.50452377170365</v>
      </c>
      <c r="L91" s="6">
        <f t="shared" ca="1" si="34"/>
        <v>253.84369444588748</v>
      </c>
      <c r="M91" s="6">
        <f t="shared" ca="1" si="45"/>
        <v>3.8213047576801671</v>
      </c>
      <c r="N91" s="6">
        <f t="shared" ca="1" si="46"/>
        <v>1</v>
      </c>
      <c r="O91" s="6">
        <f ca="1">COUNTIFS($C$2:C90,"&lt;="&amp;C91,$L$2:L90,"&gt;"&amp;C91)</f>
        <v>3</v>
      </c>
      <c r="P91" s="9">
        <f t="shared" ca="1" si="35"/>
        <v>0</v>
      </c>
      <c r="Q91" s="9">
        <f t="shared" ca="1" si="36"/>
        <v>0</v>
      </c>
      <c r="R91" s="9">
        <f t="shared" ca="1" si="37"/>
        <v>0</v>
      </c>
      <c r="S91">
        <f t="shared" ca="1" si="47"/>
        <v>0</v>
      </c>
      <c r="T91">
        <f t="shared" ca="1" si="48"/>
        <v>0</v>
      </c>
      <c r="U91">
        <f t="shared" ca="1" si="49"/>
        <v>2.3391706741838361</v>
      </c>
    </row>
    <row r="92" spans="1:21" ht="15" x14ac:dyDescent="0.3">
      <c r="A92" s="6">
        <v>91</v>
      </c>
      <c r="B92" s="6">
        <f t="shared" ca="1" si="38"/>
        <v>3.2782225402899448</v>
      </c>
      <c r="C92" s="9">
        <f t="shared" ca="1" si="39"/>
        <v>250.96144155431341</v>
      </c>
      <c r="D92" s="6">
        <f t="shared" ca="1" si="32"/>
        <v>0.13800105538133456</v>
      </c>
      <c r="E92" s="6" t="str">
        <f ca="1">LOOKUP(RAND(),{0,0.4,0.7,0.9},{"DEPOSIT","WITHDRAWAL","INQUIRY","LOAN"})</f>
        <v>WITHDRAWAL</v>
      </c>
      <c r="F92" s="6" t="str">
        <f t="shared" ca="1" si="40"/>
        <v>t3</v>
      </c>
      <c r="G92" s="6">
        <f t="shared" ca="1" si="33"/>
        <v>11.882963676980074</v>
      </c>
      <c r="H92" s="6">
        <f t="shared" ca="1" si="41"/>
        <v>255.31201093281132</v>
      </c>
      <c r="I92" s="6">
        <f t="shared" ca="1" si="42"/>
        <v>278.32202541439744</v>
      </c>
      <c r="J92" s="6">
        <f t="shared" ca="1" si="43"/>
        <v>265.72665812286755</v>
      </c>
      <c r="K92" s="9">
        <f t="shared" ca="1" si="44"/>
        <v>253.84369444588748</v>
      </c>
      <c r="L92" s="6">
        <f t="shared" ca="1" si="34"/>
        <v>265.72665812286755</v>
      </c>
      <c r="M92" s="6">
        <f t="shared" ca="1" si="45"/>
        <v>2.8822528915740691</v>
      </c>
      <c r="N92" s="6">
        <f t="shared" ca="1" si="46"/>
        <v>1</v>
      </c>
      <c r="O92" s="6">
        <f ca="1">COUNTIFS($C$2:C91,"&lt;="&amp;C92,$L$2:L91,"&gt;"&amp;C92)</f>
        <v>4</v>
      </c>
      <c r="P92" s="9">
        <f t="shared" ca="1" si="35"/>
        <v>0</v>
      </c>
      <c r="Q92" s="9">
        <f t="shared" ca="1" si="36"/>
        <v>0</v>
      </c>
      <c r="R92" s="9">
        <f t="shared" ca="1" si="37"/>
        <v>0</v>
      </c>
      <c r="S92">
        <f t="shared" ca="1" si="47"/>
        <v>0</v>
      </c>
      <c r="T92">
        <f t="shared" ca="1" si="48"/>
        <v>0</v>
      </c>
      <c r="U92">
        <f t="shared" ca="1" si="49"/>
        <v>11.882963676980074</v>
      </c>
    </row>
    <row r="93" spans="1:21" ht="15" x14ac:dyDescent="0.3">
      <c r="A93" s="6">
        <v>92</v>
      </c>
      <c r="B93" s="6">
        <f t="shared" ca="1" si="38"/>
        <v>0.79285050349747765</v>
      </c>
      <c r="C93" s="9">
        <f t="shared" ca="1" si="39"/>
        <v>251.75429205781089</v>
      </c>
      <c r="D93" s="6">
        <f t="shared" ca="1" si="32"/>
        <v>0.15697242504989262</v>
      </c>
      <c r="E93" s="6" t="str">
        <f ca="1">LOOKUP(RAND(),{0,0.4,0.7,0.9},{"DEPOSIT","WITHDRAWAL","INQUIRY","LOAN"})</f>
        <v>INQUIRY</v>
      </c>
      <c r="F93" s="6" t="str">
        <f t="shared" ca="1" si="40"/>
        <v>t1</v>
      </c>
      <c r="G93" s="6">
        <f t="shared" ca="1" si="33"/>
        <v>7.4067405027385398</v>
      </c>
      <c r="H93" s="6">
        <f t="shared" ca="1" si="41"/>
        <v>262.71875143554985</v>
      </c>
      <c r="I93" s="6">
        <f t="shared" ca="1" si="42"/>
        <v>278.32202541439744</v>
      </c>
      <c r="J93" s="6">
        <f t="shared" ca="1" si="43"/>
        <v>265.72665812286755</v>
      </c>
      <c r="K93" s="9">
        <f t="shared" ca="1" si="44"/>
        <v>255.31201093281132</v>
      </c>
      <c r="L93" s="6">
        <f t="shared" ca="1" si="34"/>
        <v>262.71875143554985</v>
      </c>
      <c r="M93" s="6">
        <f t="shared" ca="1" si="45"/>
        <v>3.5577188750004325</v>
      </c>
      <c r="N93" s="6">
        <f t="shared" ca="1" si="46"/>
        <v>1</v>
      </c>
      <c r="O93" s="6">
        <f ca="1">COUNTIFS($C$2:C92,"&lt;="&amp;C93,$L$2:L92,"&gt;"&amp;C93)</f>
        <v>4</v>
      </c>
      <c r="P93" s="9">
        <f t="shared" ca="1" si="35"/>
        <v>0</v>
      </c>
      <c r="Q93" s="9">
        <f t="shared" ca="1" si="36"/>
        <v>0</v>
      </c>
      <c r="R93" s="9">
        <f t="shared" ca="1" si="37"/>
        <v>0</v>
      </c>
      <c r="S93">
        <f t="shared" ca="1" si="47"/>
        <v>7.4067405027385398</v>
      </c>
      <c r="T93">
        <f t="shared" ca="1" si="48"/>
        <v>0</v>
      </c>
      <c r="U93">
        <f t="shared" ca="1" si="49"/>
        <v>0</v>
      </c>
    </row>
    <row r="94" spans="1:21" ht="15" x14ac:dyDescent="0.3">
      <c r="A94" s="6">
        <v>93</v>
      </c>
      <c r="B94" s="6">
        <f t="shared" ca="1" si="38"/>
        <v>1.2939813427249351</v>
      </c>
      <c r="C94" s="9">
        <f t="shared" ca="1" si="39"/>
        <v>253.04827340053583</v>
      </c>
      <c r="D94" s="6">
        <f t="shared" ca="1" si="32"/>
        <v>0.58866106145349451</v>
      </c>
      <c r="E94" s="6" t="str">
        <f ca="1">LOOKUP(RAND(),{0,0.4,0.7,0.9},{"DEPOSIT","WITHDRAWAL","INQUIRY","LOAN"})</f>
        <v>WITHDRAWAL</v>
      </c>
      <c r="F94" s="6" t="str">
        <f t="shared" ca="1" si="40"/>
        <v>t1</v>
      </c>
      <c r="G94" s="6">
        <f t="shared" ca="1" si="33"/>
        <v>3.1794282504681344</v>
      </c>
      <c r="H94" s="6">
        <f t="shared" ca="1" si="41"/>
        <v>265.89817968601795</v>
      </c>
      <c r="I94" s="6">
        <f t="shared" ca="1" si="42"/>
        <v>278.32202541439744</v>
      </c>
      <c r="J94" s="6">
        <f t="shared" ca="1" si="43"/>
        <v>265.72665812286755</v>
      </c>
      <c r="K94" s="9">
        <f t="shared" ca="1" si="44"/>
        <v>262.71875143554985</v>
      </c>
      <c r="L94" s="6">
        <f t="shared" ca="1" si="34"/>
        <v>265.89817968601795</v>
      </c>
      <c r="M94" s="6">
        <f t="shared" ca="1" si="45"/>
        <v>9.670478035014014</v>
      </c>
      <c r="N94" s="6">
        <f t="shared" ca="1" si="46"/>
        <v>1</v>
      </c>
      <c r="O94" s="6">
        <f ca="1">COUNTIFS($C$2:C93,"&lt;="&amp;C94,$L$2:L93,"&gt;"&amp;C94)</f>
        <v>5</v>
      </c>
      <c r="P94" s="9">
        <f t="shared" ca="1" si="35"/>
        <v>0</v>
      </c>
      <c r="Q94" s="9">
        <f t="shared" ca="1" si="36"/>
        <v>0</v>
      </c>
      <c r="R94" s="9">
        <f t="shared" ca="1" si="37"/>
        <v>0</v>
      </c>
      <c r="S94">
        <f t="shared" ca="1" si="47"/>
        <v>3.1794282504681344</v>
      </c>
      <c r="T94">
        <f t="shared" ca="1" si="48"/>
        <v>0</v>
      </c>
      <c r="U94">
        <f t="shared" ca="1" si="49"/>
        <v>0</v>
      </c>
    </row>
    <row r="95" spans="1:21" ht="15" x14ac:dyDescent="0.3">
      <c r="A95" s="6">
        <v>94</v>
      </c>
      <c r="B95" s="6">
        <f t="shared" ca="1" si="38"/>
        <v>2.3087731070919504</v>
      </c>
      <c r="C95" s="9">
        <f t="shared" ca="1" si="39"/>
        <v>255.35704650762779</v>
      </c>
      <c r="D95" s="6">
        <f t="shared" ca="1" si="32"/>
        <v>0.88047869526038225</v>
      </c>
      <c r="E95" s="6" t="str">
        <f ca="1">LOOKUP(RAND(),{0,0.4,0.7,0.9},{"DEPOSIT","WITHDRAWAL","INQUIRY","LOAN"})</f>
        <v>INQUIRY</v>
      </c>
      <c r="F95" s="6" t="str">
        <f t="shared" ca="1" si="40"/>
        <v>t3</v>
      </c>
      <c r="G95" s="6">
        <f t="shared" ca="1" si="33"/>
        <v>1</v>
      </c>
      <c r="H95" s="6">
        <f t="shared" ca="1" si="41"/>
        <v>265.89817968601795</v>
      </c>
      <c r="I95" s="6">
        <f t="shared" ca="1" si="42"/>
        <v>278.32202541439744</v>
      </c>
      <c r="J95" s="6">
        <f t="shared" ca="1" si="43"/>
        <v>266.72665812286755</v>
      </c>
      <c r="K95" s="9">
        <f t="shared" ca="1" si="44"/>
        <v>265.72665812286755</v>
      </c>
      <c r="L95" s="6">
        <f t="shared" ca="1" si="34"/>
        <v>266.72665812286755</v>
      </c>
      <c r="M95" s="6">
        <f t="shared" ca="1" si="45"/>
        <v>10.369611615239762</v>
      </c>
      <c r="N95" s="6">
        <f t="shared" ca="1" si="46"/>
        <v>1</v>
      </c>
      <c r="O95" s="6">
        <f ca="1">COUNTIFS($C$2:C94,"&lt;="&amp;C95,$L$2:L94,"&gt;"&amp;C95)</f>
        <v>4</v>
      </c>
      <c r="P95" s="9">
        <f t="shared" ca="1" si="35"/>
        <v>0</v>
      </c>
      <c r="Q95" s="9">
        <f t="shared" ca="1" si="36"/>
        <v>0</v>
      </c>
      <c r="R95" s="9">
        <f t="shared" ca="1" si="37"/>
        <v>0</v>
      </c>
      <c r="S95">
        <f t="shared" ca="1" si="47"/>
        <v>0</v>
      </c>
      <c r="T95">
        <f t="shared" ca="1" si="48"/>
        <v>0</v>
      </c>
      <c r="U95">
        <f t="shared" ca="1" si="49"/>
        <v>1</v>
      </c>
    </row>
    <row r="96" spans="1:21" ht="15" x14ac:dyDescent="0.3">
      <c r="A96" s="6">
        <v>95</v>
      </c>
      <c r="B96" s="6">
        <f t="shared" ca="1" si="38"/>
        <v>6.4594570520631542</v>
      </c>
      <c r="C96" s="9">
        <f t="shared" ca="1" si="39"/>
        <v>261.81650355969094</v>
      </c>
      <c r="D96" s="6">
        <f t="shared" ca="1" si="32"/>
        <v>0.35819478900751711</v>
      </c>
      <c r="E96" s="6" t="str">
        <f ca="1">LOOKUP(RAND(),{0,0.4,0.7,0.9},{"DEPOSIT","WITHDRAWAL","INQUIRY","LOAN"})</f>
        <v>DEPOSIT</v>
      </c>
      <c r="F96" s="6" t="str">
        <f t="shared" ca="1" si="40"/>
        <v>t1</v>
      </c>
      <c r="G96" s="6">
        <f t="shared" ca="1" si="33"/>
        <v>5.133391685895262</v>
      </c>
      <c r="H96" s="6">
        <f t="shared" ca="1" si="41"/>
        <v>271.03157137191323</v>
      </c>
      <c r="I96" s="6">
        <f t="shared" ca="1" si="42"/>
        <v>278.32202541439744</v>
      </c>
      <c r="J96" s="6">
        <f t="shared" ca="1" si="43"/>
        <v>266.72665812286755</v>
      </c>
      <c r="K96" s="9">
        <f t="shared" ca="1" si="44"/>
        <v>265.89817968601795</v>
      </c>
      <c r="L96" s="6">
        <f t="shared" ca="1" si="34"/>
        <v>271.03157137191323</v>
      </c>
      <c r="M96" s="6">
        <f t="shared" ca="1" si="45"/>
        <v>4.0816761263270109</v>
      </c>
      <c r="N96" s="6">
        <f t="shared" ca="1" si="46"/>
        <v>1</v>
      </c>
      <c r="O96" s="6">
        <f ca="1">COUNTIFS($C$2:C95,"&lt;="&amp;C96,$L$2:L95,"&gt;"&amp;C96)</f>
        <v>5</v>
      </c>
      <c r="P96" s="9">
        <f t="shared" ca="1" si="35"/>
        <v>0</v>
      </c>
      <c r="Q96" s="9">
        <f t="shared" ca="1" si="36"/>
        <v>0</v>
      </c>
      <c r="R96" s="9">
        <f t="shared" ca="1" si="37"/>
        <v>0</v>
      </c>
      <c r="S96">
        <f t="shared" ca="1" si="47"/>
        <v>5.133391685895262</v>
      </c>
      <c r="T96">
        <f t="shared" ca="1" si="48"/>
        <v>0</v>
      </c>
      <c r="U96">
        <f t="shared" ca="1" si="49"/>
        <v>0</v>
      </c>
    </row>
    <row r="97" spans="1:21" ht="15" x14ac:dyDescent="0.3">
      <c r="A97" s="6">
        <v>96</v>
      </c>
      <c r="B97" s="6">
        <f t="shared" ca="1" si="38"/>
        <v>0.21436831198639367</v>
      </c>
      <c r="C97" s="9">
        <f t="shared" ca="1" si="39"/>
        <v>262.03087187167733</v>
      </c>
      <c r="D97" s="6">
        <f t="shared" ca="1" si="32"/>
        <v>0.76313787202731342</v>
      </c>
      <c r="E97" s="6" t="str">
        <f ca="1">LOOKUP(RAND(),{0,0.4,0.7,0.9},{"DEPOSIT","WITHDRAWAL","INQUIRY","LOAN"})</f>
        <v>DEPOSIT</v>
      </c>
      <c r="F97" s="6" t="str">
        <f t="shared" ca="1" si="40"/>
        <v>t3</v>
      </c>
      <c r="G97" s="6">
        <f t="shared" ca="1" si="33"/>
        <v>1.3515828336898197</v>
      </c>
      <c r="H97" s="6">
        <f t="shared" ca="1" si="41"/>
        <v>271.03157137191323</v>
      </c>
      <c r="I97" s="6">
        <f t="shared" ca="1" si="42"/>
        <v>278.32202541439744</v>
      </c>
      <c r="J97" s="6">
        <f t="shared" ca="1" si="43"/>
        <v>268.07824095655735</v>
      </c>
      <c r="K97" s="9">
        <f t="shared" ca="1" si="44"/>
        <v>266.72665812286755</v>
      </c>
      <c r="L97" s="6">
        <f t="shared" ca="1" si="34"/>
        <v>268.07824095655735</v>
      </c>
      <c r="M97" s="6">
        <f t="shared" ca="1" si="45"/>
        <v>4.6957862511902135</v>
      </c>
      <c r="N97" s="6">
        <f t="shared" ca="1" si="46"/>
        <v>1</v>
      </c>
      <c r="O97" s="6">
        <f ca="1">COUNTIFS($C$2:C96,"&lt;="&amp;C97,$L$2:L96,"&gt;"&amp;C97)</f>
        <v>6</v>
      </c>
      <c r="P97" s="9">
        <f t="shared" ca="1" si="35"/>
        <v>0</v>
      </c>
      <c r="Q97" s="9">
        <f t="shared" ca="1" si="36"/>
        <v>0</v>
      </c>
      <c r="R97" s="9">
        <f t="shared" ca="1" si="37"/>
        <v>0</v>
      </c>
      <c r="S97">
        <f t="shared" ca="1" si="47"/>
        <v>0</v>
      </c>
      <c r="T97">
        <f t="shared" ca="1" si="48"/>
        <v>0</v>
      </c>
      <c r="U97">
        <f t="shared" ca="1" si="49"/>
        <v>1.3515828336898197</v>
      </c>
    </row>
    <row r="98" spans="1:21" ht="15" x14ac:dyDescent="0.3">
      <c r="A98" s="6">
        <v>97</v>
      </c>
      <c r="B98" s="6">
        <f t="shared" ca="1" si="38"/>
        <v>2.1054064763079401</v>
      </c>
      <c r="C98" s="9">
        <f t="shared" ca="1" si="39"/>
        <v>264.1362783479853</v>
      </c>
      <c r="D98" s="6">
        <f t="shared" ref="D98:D129" ca="1" si="50">RAND()</f>
        <v>0.6249451292174355</v>
      </c>
      <c r="E98" s="6" t="str">
        <f ca="1">LOOKUP(RAND(),{0,0.4,0.7,0.9},{"DEPOSIT","WITHDRAWAL","INQUIRY","LOAN"})</f>
        <v>DEPOSIT</v>
      </c>
      <c r="F98" s="6" t="str">
        <f t="shared" ca="1" si="40"/>
        <v>t3</v>
      </c>
      <c r="G98" s="6">
        <f t="shared" ref="G98:G129" ca="1" si="51">IF(E98="DEPOSIT",MAX(1,-5*LN(D98)),IF(E98="WITHDRAWAL",MAX(1,-6*LN(D98)),IF(E98="INQUIRY",MAX(1,-4*LN(D98)),MAX(1,-12*LN(D98)))))</f>
        <v>2.3504571317594594</v>
      </c>
      <c r="H98" s="6">
        <f t="shared" ca="1" si="41"/>
        <v>271.03157137191323</v>
      </c>
      <c r="I98" s="6">
        <f t="shared" ca="1" si="42"/>
        <v>278.32202541439744</v>
      </c>
      <c r="J98" s="6">
        <f t="shared" ca="1" si="43"/>
        <v>270.42869808831682</v>
      </c>
      <c r="K98" s="9">
        <f t="shared" ca="1" si="44"/>
        <v>268.07824095655735</v>
      </c>
      <c r="L98" s="6">
        <f t="shared" ref="L98:L129" ca="1" si="52">K98+G98</f>
        <v>270.42869808831682</v>
      </c>
      <c r="M98" s="6">
        <f t="shared" ca="1" si="45"/>
        <v>3.9419626085720552</v>
      </c>
      <c r="N98" s="6">
        <f t="shared" ca="1" si="46"/>
        <v>1</v>
      </c>
      <c r="O98" s="6">
        <f ca="1">COUNTIFS($C$2:C97,"&lt;="&amp;C98,$L$2:L97,"&gt;"&amp;C98)</f>
        <v>6</v>
      </c>
      <c r="P98" s="9">
        <f t="shared" ref="P98:P129" ca="1" si="53">MAX(0,C98-H98)</f>
        <v>0</v>
      </c>
      <c r="Q98" s="9">
        <f t="shared" ref="Q98:Q129" ca="1" si="54">MAX(0,C98-I98)</f>
        <v>0</v>
      </c>
      <c r="R98" s="9">
        <f t="shared" ref="R98:R129" ca="1" si="55">MAX(0,C98-J98)</f>
        <v>0</v>
      </c>
      <c r="S98">
        <f t="shared" ca="1" si="47"/>
        <v>0</v>
      </c>
      <c r="T98">
        <f t="shared" ca="1" si="48"/>
        <v>0</v>
      </c>
      <c r="U98">
        <f t="shared" ca="1" si="49"/>
        <v>2.3504571317594594</v>
      </c>
    </row>
    <row r="99" spans="1:21" ht="15" x14ac:dyDescent="0.3">
      <c r="A99" s="6">
        <v>98</v>
      </c>
      <c r="B99" s="6">
        <f t="shared" ref="B99:B130" ca="1" si="56">-LN(1-RAND())/(25/60)</f>
        <v>2.1068379949771661</v>
      </c>
      <c r="C99" s="9">
        <f t="shared" ref="C99:C130" ca="1" si="57">C98+B99</f>
        <v>266.24311634296248</v>
      </c>
      <c r="D99" s="6">
        <f t="shared" ca="1" si="50"/>
        <v>3.5090012434672246E-2</v>
      </c>
      <c r="E99" s="6" t="str">
        <f ca="1">LOOKUP(RAND(),{0,0.4,0.7,0.9},{"DEPOSIT","WITHDRAWAL","INQUIRY","LOAN"})</f>
        <v>DEPOSIT</v>
      </c>
      <c r="F99" s="6" t="str">
        <f t="shared" ref="F99:F130" ca="1" si="58">IF(C99&gt;MAX(H98,I98,J98),"t1",IF(MIN(H98,I98,J98)=H98,"t1",(IF(MIN(H98,I98,J98)=I98,"t2","t3"))))</f>
        <v>t3</v>
      </c>
      <c r="G99" s="6">
        <f t="shared" ca="1" si="51"/>
        <v>16.749193675109755</v>
      </c>
      <c r="H99" s="6">
        <f t="shared" ref="H99:H130" ca="1" si="59">IF(F99="t1",L99,H98)</f>
        <v>271.03157137191323</v>
      </c>
      <c r="I99" s="6">
        <f t="shared" ref="I99:I130" ca="1" si="60">IF(F99="t2",L99,I98)</f>
        <v>278.32202541439744</v>
      </c>
      <c r="J99" s="6">
        <f t="shared" ref="J99:J130" ca="1" si="61">IF(F99="t3",L99,J98)</f>
        <v>287.1778917634266</v>
      </c>
      <c r="K99" s="9">
        <f t="shared" ref="K99:K130" ca="1" si="62">IF(M99=0,C99,MIN(H98,I98,J98))</f>
        <v>270.42869808831682</v>
      </c>
      <c r="L99" s="6">
        <f t="shared" ca="1" si="52"/>
        <v>287.1778917634266</v>
      </c>
      <c r="M99" s="6">
        <f t="shared" ref="M99:M130" ca="1" si="63">IF(C99&lt;MIN(H98,I98,J98),MIN(H98,I98,J98)-C99,0)</f>
        <v>4.1855817453543409</v>
      </c>
      <c r="N99" s="6">
        <f t="shared" ca="1" si="46"/>
        <v>1</v>
      </c>
      <c r="O99" s="6">
        <f ca="1">COUNTIFS($C$2:C98,"&lt;="&amp;C99,$L$2:L98,"&gt;"&amp;C99)</f>
        <v>5</v>
      </c>
      <c r="P99" s="9">
        <f t="shared" ca="1" si="53"/>
        <v>0</v>
      </c>
      <c r="Q99" s="9">
        <f t="shared" ca="1" si="54"/>
        <v>0</v>
      </c>
      <c r="R99" s="9">
        <f t="shared" ca="1" si="55"/>
        <v>0</v>
      </c>
      <c r="S99">
        <f t="shared" ca="1" si="47"/>
        <v>0</v>
      </c>
      <c r="T99">
        <f t="shared" ca="1" si="48"/>
        <v>0</v>
      </c>
      <c r="U99">
        <f t="shared" ca="1" si="49"/>
        <v>16.749193675109755</v>
      </c>
    </row>
    <row r="100" spans="1:21" ht="15" x14ac:dyDescent="0.3">
      <c r="A100" s="6">
        <v>99</v>
      </c>
      <c r="B100" s="6">
        <f t="shared" ca="1" si="56"/>
        <v>0.10633356175635508</v>
      </c>
      <c r="C100" s="9">
        <f t="shared" ca="1" si="57"/>
        <v>266.34944990471882</v>
      </c>
      <c r="D100" s="6">
        <f t="shared" ca="1" si="50"/>
        <v>0.90807392859600666</v>
      </c>
      <c r="E100" s="6" t="str">
        <f ca="1">LOOKUP(RAND(),{0,0.4,0.7,0.9},{"DEPOSIT","WITHDRAWAL","INQUIRY","LOAN"})</f>
        <v>WITHDRAWAL</v>
      </c>
      <c r="F100" s="6" t="str">
        <f t="shared" ca="1" si="58"/>
        <v>t1</v>
      </c>
      <c r="G100" s="6">
        <f t="shared" ca="1" si="51"/>
        <v>1</v>
      </c>
      <c r="H100" s="6">
        <f t="shared" ca="1" si="59"/>
        <v>272.03157137191323</v>
      </c>
      <c r="I100" s="6">
        <f t="shared" ca="1" si="60"/>
        <v>278.32202541439744</v>
      </c>
      <c r="J100" s="6">
        <f t="shared" ca="1" si="61"/>
        <v>287.1778917634266</v>
      </c>
      <c r="K100" s="9">
        <f t="shared" ca="1" si="62"/>
        <v>271.03157137191323</v>
      </c>
      <c r="L100" s="6">
        <f t="shared" ca="1" si="52"/>
        <v>272.03157137191323</v>
      </c>
      <c r="M100" s="6">
        <f t="shared" ca="1" si="63"/>
        <v>4.6821214671944063</v>
      </c>
      <c r="N100" s="6">
        <f t="shared" ca="1" si="46"/>
        <v>1</v>
      </c>
      <c r="O100" s="6">
        <f ca="1">COUNTIFS($C$2:C99,"&lt;="&amp;C100,$L$2:L99,"&gt;"&amp;C100)</f>
        <v>6</v>
      </c>
      <c r="P100" s="9">
        <f t="shared" ca="1" si="53"/>
        <v>0</v>
      </c>
      <c r="Q100" s="9">
        <f t="shared" ca="1" si="54"/>
        <v>0</v>
      </c>
      <c r="R100" s="9">
        <f t="shared" ca="1" si="55"/>
        <v>0</v>
      </c>
      <c r="S100">
        <f t="shared" ca="1" si="47"/>
        <v>1</v>
      </c>
      <c r="T100">
        <f t="shared" ca="1" si="48"/>
        <v>0</v>
      </c>
      <c r="U100">
        <f t="shared" ca="1" si="49"/>
        <v>0</v>
      </c>
    </row>
    <row r="101" spans="1:21" ht="15" x14ac:dyDescent="0.3">
      <c r="A101" s="6">
        <v>100</v>
      </c>
      <c r="B101" s="6">
        <f t="shared" ca="1" si="56"/>
        <v>3.1826271635426675</v>
      </c>
      <c r="C101" s="9">
        <f t="shared" ca="1" si="57"/>
        <v>269.53207706826151</v>
      </c>
      <c r="D101" s="6">
        <f t="shared" ca="1" si="50"/>
        <v>0.8610454420975735</v>
      </c>
      <c r="E101" s="6" t="str">
        <f ca="1">LOOKUP(RAND(),{0,0.4,0.7,0.9},{"DEPOSIT","WITHDRAWAL","INQUIRY","LOAN"})</f>
        <v>INQUIRY</v>
      </c>
      <c r="F101" s="6" t="str">
        <f t="shared" ca="1" si="58"/>
        <v>t1</v>
      </c>
      <c r="G101" s="6">
        <f t="shared" ca="1" si="51"/>
        <v>1</v>
      </c>
      <c r="H101" s="6">
        <f t="shared" ca="1" si="59"/>
        <v>273.03157137191323</v>
      </c>
      <c r="I101" s="6">
        <f t="shared" ca="1" si="60"/>
        <v>278.32202541439744</v>
      </c>
      <c r="J101" s="6">
        <f t="shared" ca="1" si="61"/>
        <v>287.1778917634266</v>
      </c>
      <c r="K101" s="9">
        <f t="shared" ca="1" si="62"/>
        <v>272.03157137191323</v>
      </c>
      <c r="L101" s="6">
        <f t="shared" ca="1" si="52"/>
        <v>273.03157137191323</v>
      </c>
      <c r="M101" s="6">
        <f t="shared" ca="1" si="63"/>
        <v>2.4994943036517157</v>
      </c>
      <c r="N101" s="6">
        <f t="shared" ca="1" si="46"/>
        <v>1</v>
      </c>
      <c r="O101" s="6">
        <f ca="1">COUNTIFS($C$2:C100,"&lt;="&amp;C101,$L$2:L100,"&gt;"&amp;C101)</f>
        <v>5</v>
      </c>
      <c r="P101" s="9">
        <f t="shared" ca="1" si="53"/>
        <v>0</v>
      </c>
      <c r="Q101" s="9">
        <f t="shared" ca="1" si="54"/>
        <v>0</v>
      </c>
      <c r="R101" s="9">
        <f t="shared" ca="1" si="55"/>
        <v>0</v>
      </c>
      <c r="S101">
        <f t="shared" ca="1" si="47"/>
        <v>1</v>
      </c>
      <c r="T101">
        <f t="shared" ca="1" si="48"/>
        <v>0</v>
      </c>
      <c r="U101">
        <f t="shared" ca="1" si="49"/>
        <v>0</v>
      </c>
    </row>
    <row r="102" spans="1:21" ht="15" x14ac:dyDescent="0.3">
      <c r="A102" s="6">
        <v>101</v>
      </c>
      <c r="B102" s="6">
        <f t="shared" ca="1" si="56"/>
        <v>2.3041282645388503</v>
      </c>
      <c r="C102" s="9">
        <f t="shared" ca="1" si="57"/>
        <v>271.83620533280038</v>
      </c>
      <c r="D102" s="6">
        <f t="shared" ca="1" si="50"/>
        <v>0.96372788954589839</v>
      </c>
      <c r="E102" s="6" t="str">
        <f ca="1">LOOKUP(RAND(),{0,0.4,0.7,0.9},{"DEPOSIT","WITHDRAWAL","INQUIRY","LOAN"})</f>
        <v>DEPOSIT</v>
      </c>
      <c r="F102" s="6" t="str">
        <f t="shared" ca="1" si="58"/>
        <v>t1</v>
      </c>
      <c r="G102" s="6">
        <f t="shared" ca="1" si="51"/>
        <v>1</v>
      </c>
      <c r="H102" s="6">
        <f t="shared" ca="1" si="59"/>
        <v>274.03157137191323</v>
      </c>
      <c r="I102" s="6">
        <f t="shared" ca="1" si="60"/>
        <v>278.32202541439744</v>
      </c>
      <c r="J102" s="6">
        <f t="shared" ca="1" si="61"/>
        <v>287.1778917634266</v>
      </c>
      <c r="K102" s="9">
        <f t="shared" ca="1" si="62"/>
        <v>273.03157137191323</v>
      </c>
      <c r="L102" s="6">
        <f t="shared" ca="1" si="52"/>
        <v>274.03157137191323</v>
      </c>
      <c r="M102" s="6">
        <f t="shared" ca="1" si="63"/>
        <v>1.1953660391128551</v>
      </c>
      <c r="N102" s="6">
        <f t="shared" ca="1" si="46"/>
        <v>1</v>
      </c>
      <c r="O102" s="6">
        <f ca="1">COUNTIFS($C$2:C101,"&lt;="&amp;C102,$L$2:L101,"&gt;"&amp;C102)</f>
        <v>4</v>
      </c>
      <c r="P102" s="9">
        <f t="shared" ca="1" si="53"/>
        <v>0</v>
      </c>
      <c r="Q102" s="9">
        <f t="shared" ca="1" si="54"/>
        <v>0</v>
      </c>
      <c r="R102" s="9">
        <f t="shared" ca="1" si="55"/>
        <v>0</v>
      </c>
      <c r="S102">
        <f t="shared" ca="1" si="47"/>
        <v>1</v>
      </c>
      <c r="T102">
        <f t="shared" ca="1" si="48"/>
        <v>0</v>
      </c>
      <c r="U102">
        <f t="shared" ca="1" si="49"/>
        <v>0</v>
      </c>
    </row>
    <row r="103" spans="1:21" ht="15" x14ac:dyDescent="0.3">
      <c r="A103" s="6">
        <v>102</v>
      </c>
      <c r="B103" s="6">
        <f t="shared" ca="1" si="56"/>
        <v>4.7618081085468589</v>
      </c>
      <c r="C103" s="9">
        <f t="shared" ca="1" si="57"/>
        <v>276.59801344134723</v>
      </c>
      <c r="D103" s="6">
        <f t="shared" ca="1" si="50"/>
        <v>0.91320392414140572</v>
      </c>
      <c r="E103" s="6" t="str">
        <f ca="1">LOOKUP(RAND(),{0,0.4,0.7,0.9},{"DEPOSIT","WITHDRAWAL","INQUIRY","LOAN"})</f>
        <v>WITHDRAWAL</v>
      </c>
      <c r="F103" s="6" t="str">
        <f t="shared" ca="1" si="58"/>
        <v>t1</v>
      </c>
      <c r="G103" s="6">
        <f t="shared" ca="1" si="51"/>
        <v>1</v>
      </c>
      <c r="H103" s="6">
        <f t="shared" ca="1" si="59"/>
        <v>277.59801344134723</v>
      </c>
      <c r="I103" s="6">
        <f t="shared" ca="1" si="60"/>
        <v>278.32202541439744</v>
      </c>
      <c r="J103" s="6">
        <f t="shared" ca="1" si="61"/>
        <v>287.1778917634266</v>
      </c>
      <c r="K103" s="9">
        <f t="shared" ca="1" si="62"/>
        <v>276.59801344134723</v>
      </c>
      <c r="L103" s="6">
        <f t="shared" ca="1" si="52"/>
        <v>277.59801344134723</v>
      </c>
      <c r="M103" s="6">
        <f t="shared" ca="1" si="63"/>
        <v>0</v>
      </c>
      <c r="N103" s="6">
        <f t="shared" ca="1" si="46"/>
        <v>0</v>
      </c>
      <c r="O103" s="6">
        <f ca="1">COUNTIFS($C$2:C102,"&lt;="&amp;C103,$L$2:L102,"&gt;"&amp;C103)</f>
        <v>2</v>
      </c>
      <c r="P103" s="9">
        <f t="shared" ca="1" si="53"/>
        <v>0</v>
      </c>
      <c r="Q103" s="9">
        <f t="shared" ca="1" si="54"/>
        <v>0</v>
      </c>
      <c r="R103" s="9">
        <f t="shared" ca="1" si="55"/>
        <v>0</v>
      </c>
      <c r="S103">
        <f t="shared" ca="1" si="47"/>
        <v>1</v>
      </c>
      <c r="T103">
        <f t="shared" ca="1" si="48"/>
        <v>0</v>
      </c>
      <c r="U103">
        <f t="shared" ca="1" si="49"/>
        <v>0</v>
      </c>
    </row>
    <row r="104" spans="1:21" ht="15" x14ac:dyDescent="0.3">
      <c r="A104" s="6">
        <v>103</v>
      </c>
      <c r="B104" s="6">
        <f t="shared" ca="1" si="56"/>
        <v>0.16962081259916673</v>
      </c>
      <c r="C104" s="9">
        <f t="shared" ca="1" si="57"/>
        <v>276.76763425394643</v>
      </c>
      <c r="D104" s="6">
        <f t="shared" ca="1" si="50"/>
        <v>0.82166839394592472</v>
      </c>
      <c r="E104" s="6" t="str">
        <f ca="1">LOOKUP(RAND(),{0,0.4,0.7,0.9},{"DEPOSIT","WITHDRAWAL","INQUIRY","LOAN"})</f>
        <v>WITHDRAWAL</v>
      </c>
      <c r="F104" s="6" t="str">
        <f t="shared" ca="1" si="58"/>
        <v>t1</v>
      </c>
      <c r="G104" s="6">
        <f t="shared" ca="1" si="51"/>
        <v>1.178510274061441</v>
      </c>
      <c r="H104" s="6">
        <f t="shared" ca="1" si="59"/>
        <v>278.7765237154087</v>
      </c>
      <c r="I104" s="6">
        <f t="shared" ca="1" si="60"/>
        <v>278.32202541439744</v>
      </c>
      <c r="J104" s="6">
        <f t="shared" ca="1" si="61"/>
        <v>287.1778917634266</v>
      </c>
      <c r="K104" s="9">
        <f t="shared" ca="1" si="62"/>
        <v>277.59801344134723</v>
      </c>
      <c r="L104" s="6">
        <f t="shared" ca="1" si="52"/>
        <v>278.7765237154087</v>
      </c>
      <c r="M104" s="6">
        <f t="shared" ca="1" si="63"/>
        <v>0.83037918740080841</v>
      </c>
      <c r="N104" s="6">
        <f t="shared" ca="1" si="46"/>
        <v>1</v>
      </c>
      <c r="O104" s="6">
        <f ca="1">COUNTIFS($C$2:C103,"&lt;="&amp;C104,$L$2:L103,"&gt;"&amp;C104)</f>
        <v>3</v>
      </c>
      <c r="P104" s="9">
        <f t="shared" ca="1" si="53"/>
        <v>0</v>
      </c>
      <c r="Q104" s="9">
        <f t="shared" ca="1" si="54"/>
        <v>0</v>
      </c>
      <c r="R104" s="9">
        <f t="shared" ca="1" si="55"/>
        <v>0</v>
      </c>
      <c r="S104">
        <f t="shared" ca="1" si="47"/>
        <v>1.178510274061441</v>
      </c>
      <c r="T104">
        <f t="shared" ca="1" si="48"/>
        <v>0</v>
      </c>
      <c r="U104">
        <f t="shared" ca="1" si="49"/>
        <v>0</v>
      </c>
    </row>
    <row r="105" spans="1:21" ht="15" x14ac:dyDescent="0.3">
      <c r="A105" s="6">
        <v>104</v>
      </c>
      <c r="B105" s="6">
        <f t="shared" ca="1" si="56"/>
        <v>6.7114996154340439E-2</v>
      </c>
      <c r="C105" s="9">
        <f t="shared" ca="1" si="57"/>
        <v>276.83474925010074</v>
      </c>
      <c r="D105" s="6">
        <f t="shared" ca="1" si="50"/>
        <v>8.6057983282921913E-2</v>
      </c>
      <c r="E105" s="6" t="str">
        <f ca="1">LOOKUP(RAND(),{0,0.4,0.7,0.9},{"DEPOSIT","WITHDRAWAL","INQUIRY","LOAN"})</f>
        <v>WITHDRAWAL</v>
      </c>
      <c r="F105" s="6" t="str">
        <f t="shared" ca="1" si="58"/>
        <v>t2</v>
      </c>
      <c r="G105" s="6">
        <f t="shared" ca="1" si="51"/>
        <v>14.716403914173872</v>
      </c>
      <c r="H105" s="6">
        <f t="shared" ca="1" si="59"/>
        <v>278.7765237154087</v>
      </c>
      <c r="I105" s="6">
        <f t="shared" ca="1" si="60"/>
        <v>293.03842932857134</v>
      </c>
      <c r="J105" s="6">
        <f t="shared" ca="1" si="61"/>
        <v>287.1778917634266</v>
      </c>
      <c r="K105" s="9">
        <f t="shared" ca="1" si="62"/>
        <v>278.32202541439744</v>
      </c>
      <c r="L105" s="6">
        <f t="shared" ca="1" si="52"/>
        <v>293.03842932857134</v>
      </c>
      <c r="M105" s="6">
        <f t="shared" ca="1" si="63"/>
        <v>1.4872761642967021</v>
      </c>
      <c r="N105" s="6">
        <f t="shared" ca="1" si="46"/>
        <v>1</v>
      </c>
      <c r="O105" s="6">
        <f ca="1">COUNTIFS($C$2:C104,"&lt;="&amp;C105,$L$2:L104,"&gt;"&amp;C105)</f>
        <v>4</v>
      </c>
      <c r="P105" s="9">
        <f t="shared" ca="1" si="53"/>
        <v>0</v>
      </c>
      <c r="Q105" s="9">
        <f t="shared" ca="1" si="54"/>
        <v>0</v>
      </c>
      <c r="R105" s="9">
        <f t="shared" ca="1" si="55"/>
        <v>0</v>
      </c>
      <c r="S105">
        <f t="shared" ca="1" si="47"/>
        <v>0</v>
      </c>
      <c r="T105">
        <f t="shared" ca="1" si="48"/>
        <v>14.716403914173872</v>
      </c>
      <c r="U105">
        <f t="shared" ca="1" si="49"/>
        <v>0</v>
      </c>
    </row>
    <row r="106" spans="1:21" ht="15" x14ac:dyDescent="0.3">
      <c r="A106" s="6">
        <v>105</v>
      </c>
      <c r="B106" s="6">
        <f t="shared" ca="1" si="56"/>
        <v>0.53775473422667153</v>
      </c>
      <c r="C106" s="9">
        <f t="shared" ca="1" si="57"/>
        <v>277.37250398432741</v>
      </c>
      <c r="D106" s="6">
        <f t="shared" ca="1" si="50"/>
        <v>0.93973829831013167</v>
      </c>
      <c r="E106" s="6" t="str">
        <f ca="1">LOOKUP(RAND(),{0,0.4,0.7,0.9},{"DEPOSIT","WITHDRAWAL","INQUIRY","LOAN"})</f>
        <v>DEPOSIT</v>
      </c>
      <c r="F106" s="6" t="str">
        <f t="shared" ca="1" si="58"/>
        <v>t1</v>
      </c>
      <c r="G106" s="6">
        <f t="shared" ca="1" si="51"/>
        <v>1</v>
      </c>
      <c r="H106" s="6">
        <f t="shared" ca="1" si="59"/>
        <v>279.7765237154087</v>
      </c>
      <c r="I106" s="6">
        <f t="shared" ca="1" si="60"/>
        <v>293.03842932857134</v>
      </c>
      <c r="J106" s="6">
        <f t="shared" ca="1" si="61"/>
        <v>287.1778917634266</v>
      </c>
      <c r="K106" s="9">
        <f t="shared" ca="1" si="62"/>
        <v>278.7765237154087</v>
      </c>
      <c r="L106" s="6">
        <f t="shared" ca="1" si="52"/>
        <v>279.7765237154087</v>
      </c>
      <c r="M106" s="6">
        <f t="shared" ca="1" si="63"/>
        <v>1.4040197310812914</v>
      </c>
      <c r="N106" s="6">
        <f t="shared" ca="1" si="46"/>
        <v>1</v>
      </c>
      <c r="O106" s="6">
        <f ca="1">COUNTIFS($C$2:C105,"&lt;="&amp;C106,$L$2:L105,"&gt;"&amp;C106)</f>
        <v>5</v>
      </c>
      <c r="P106" s="9">
        <f t="shared" ca="1" si="53"/>
        <v>0</v>
      </c>
      <c r="Q106" s="9">
        <f t="shared" ca="1" si="54"/>
        <v>0</v>
      </c>
      <c r="R106" s="9">
        <f t="shared" ca="1" si="55"/>
        <v>0</v>
      </c>
      <c r="S106">
        <f t="shared" ca="1" si="47"/>
        <v>1</v>
      </c>
      <c r="T106">
        <f t="shared" ca="1" si="48"/>
        <v>0</v>
      </c>
      <c r="U106">
        <f t="shared" ca="1" si="49"/>
        <v>0</v>
      </c>
    </row>
    <row r="107" spans="1:21" ht="15" x14ac:dyDescent="0.3">
      <c r="A107" s="6">
        <v>106</v>
      </c>
      <c r="B107" s="6">
        <f t="shared" ca="1" si="56"/>
        <v>0.85098605154116391</v>
      </c>
      <c r="C107" s="9">
        <f t="shared" ca="1" si="57"/>
        <v>278.22349003586856</v>
      </c>
      <c r="D107" s="6">
        <f t="shared" ca="1" si="50"/>
        <v>0.24182782972970762</v>
      </c>
      <c r="E107" s="6" t="str">
        <f ca="1">LOOKUP(RAND(),{0,0.4,0.7,0.9},{"DEPOSIT","WITHDRAWAL","INQUIRY","LOAN"})</f>
        <v>WITHDRAWAL</v>
      </c>
      <c r="F107" s="6" t="str">
        <f t="shared" ca="1" si="58"/>
        <v>t1</v>
      </c>
      <c r="G107" s="6">
        <f t="shared" ca="1" si="51"/>
        <v>8.5171755205329127</v>
      </c>
      <c r="H107" s="6">
        <f t="shared" ca="1" si="59"/>
        <v>288.29369923594163</v>
      </c>
      <c r="I107" s="6">
        <f t="shared" ca="1" si="60"/>
        <v>293.03842932857134</v>
      </c>
      <c r="J107" s="6">
        <f t="shared" ca="1" si="61"/>
        <v>287.1778917634266</v>
      </c>
      <c r="K107" s="9">
        <f t="shared" ca="1" si="62"/>
        <v>279.7765237154087</v>
      </c>
      <c r="L107" s="6">
        <f t="shared" ca="1" si="52"/>
        <v>288.29369923594163</v>
      </c>
      <c r="M107" s="6">
        <f t="shared" ca="1" si="63"/>
        <v>1.5530336795401354</v>
      </c>
      <c r="N107" s="6">
        <f t="shared" ca="1" si="46"/>
        <v>1</v>
      </c>
      <c r="O107" s="6">
        <f ca="1">COUNTIFS($C$2:C106,"&lt;="&amp;C107,$L$2:L106,"&gt;"&amp;C107)</f>
        <v>5</v>
      </c>
      <c r="P107" s="9">
        <f t="shared" ca="1" si="53"/>
        <v>0</v>
      </c>
      <c r="Q107" s="9">
        <f t="shared" ca="1" si="54"/>
        <v>0</v>
      </c>
      <c r="R107" s="9">
        <f t="shared" ca="1" si="55"/>
        <v>0</v>
      </c>
      <c r="S107">
        <f t="shared" ca="1" si="47"/>
        <v>8.5171755205329127</v>
      </c>
      <c r="T107">
        <f t="shared" ca="1" si="48"/>
        <v>0</v>
      </c>
      <c r="U107">
        <f t="shared" ca="1" si="49"/>
        <v>0</v>
      </c>
    </row>
    <row r="108" spans="1:21" ht="15" x14ac:dyDescent="0.3">
      <c r="A108" s="6">
        <v>107</v>
      </c>
      <c r="B108" s="6">
        <f t="shared" ca="1" si="56"/>
        <v>0.24375309193615996</v>
      </c>
      <c r="C108" s="9">
        <f t="shared" ca="1" si="57"/>
        <v>278.46724312780475</v>
      </c>
      <c r="D108" s="6">
        <f t="shared" ca="1" si="50"/>
        <v>0.89569591797465042</v>
      </c>
      <c r="E108" s="6" t="str">
        <f ca="1">LOOKUP(RAND(),{0,0.4,0.7,0.9},{"DEPOSIT","WITHDRAWAL","INQUIRY","LOAN"})</f>
        <v>WITHDRAWAL</v>
      </c>
      <c r="F108" s="6" t="str">
        <f t="shared" ca="1" si="58"/>
        <v>t3</v>
      </c>
      <c r="G108" s="6">
        <f t="shared" ca="1" si="51"/>
        <v>1</v>
      </c>
      <c r="H108" s="6">
        <f t="shared" ca="1" si="59"/>
        <v>288.29369923594163</v>
      </c>
      <c r="I108" s="6">
        <f t="shared" ca="1" si="60"/>
        <v>293.03842932857134</v>
      </c>
      <c r="J108" s="6">
        <f t="shared" ca="1" si="61"/>
        <v>288.1778917634266</v>
      </c>
      <c r="K108" s="9">
        <f t="shared" ca="1" si="62"/>
        <v>287.1778917634266</v>
      </c>
      <c r="L108" s="6">
        <f t="shared" ca="1" si="52"/>
        <v>288.1778917634266</v>
      </c>
      <c r="M108" s="6">
        <f t="shared" ca="1" si="63"/>
        <v>8.7106486356218511</v>
      </c>
      <c r="N108" s="6">
        <f t="shared" ca="1" si="46"/>
        <v>1</v>
      </c>
      <c r="O108" s="6">
        <f ca="1">COUNTIFS($C$2:C107,"&lt;="&amp;C108,$L$2:L107,"&gt;"&amp;C108)</f>
        <v>5</v>
      </c>
      <c r="P108" s="9">
        <f t="shared" ca="1" si="53"/>
        <v>0</v>
      </c>
      <c r="Q108" s="9">
        <f t="shared" ca="1" si="54"/>
        <v>0</v>
      </c>
      <c r="R108" s="9">
        <f t="shared" ca="1" si="55"/>
        <v>0</v>
      </c>
      <c r="S108">
        <f t="shared" ca="1" si="47"/>
        <v>0</v>
      </c>
      <c r="T108">
        <f t="shared" ca="1" si="48"/>
        <v>0</v>
      </c>
      <c r="U108">
        <f t="shared" ca="1" si="49"/>
        <v>1</v>
      </c>
    </row>
    <row r="109" spans="1:21" ht="15" x14ac:dyDescent="0.3">
      <c r="A109" s="6">
        <v>108</v>
      </c>
      <c r="B109" s="6">
        <f t="shared" ca="1" si="56"/>
        <v>5.1931943432231451</v>
      </c>
      <c r="C109" s="9">
        <f t="shared" ca="1" si="57"/>
        <v>283.66043747102788</v>
      </c>
      <c r="D109" s="6">
        <f t="shared" ca="1" si="50"/>
        <v>0.22842270381046481</v>
      </c>
      <c r="E109" s="6" t="str">
        <f ca="1">LOOKUP(RAND(),{0,0.4,0.7,0.9},{"DEPOSIT","WITHDRAWAL","INQUIRY","LOAN"})</f>
        <v>WITHDRAWAL</v>
      </c>
      <c r="F109" s="6" t="str">
        <f t="shared" ca="1" si="58"/>
        <v>t3</v>
      </c>
      <c r="G109" s="6">
        <f t="shared" ca="1" si="51"/>
        <v>8.859344414501571</v>
      </c>
      <c r="H109" s="6">
        <f t="shared" ca="1" si="59"/>
        <v>288.29369923594163</v>
      </c>
      <c r="I109" s="6">
        <f t="shared" ca="1" si="60"/>
        <v>293.03842932857134</v>
      </c>
      <c r="J109" s="6">
        <f t="shared" ca="1" si="61"/>
        <v>297.03723617792815</v>
      </c>
      <c r="K109" s="9">
        <f t="shared" ca="1" si="62"/>
        <v>288.1778917634266</v>
      </c>
      <c r="L109" s="6">
        <f t="shared" ca="1" si="52"/>
        <v>297.03723617792815</v>
      </c>
      <c r="M109" s="6">
        <f t="shared" ca="1" si="63"/>
        <v>4.5174542923987246</v>
      </c>
      <c r="N109" s="6">
        <f t="shared" ca="1" si="46"/>
        <v>1</v>
      </c>
      <c r="O109" s="6">
        <f ca="1">COUNTIFS($C$2:C108,"&lt;="&amp;C109,$L$2:L108,"&gt;"&amp;C109)</f>
        <v>4</v>
      </c>
      <c r="P109" s="9">
        <f t="shared" ca="1" si="53"/>
        <v>0</v>
      </c>
      <c r="Q109" s="9">
        <f t="shared" ca="1" si="54"/>
        <v>0</v>
      </c>
      <c r="R109" s="9">
        <f t="shared" ca="1" si="55"/>
        <v>0</v>
      </c>
      <c r="S109">
        <f t="shared" ca="1" si="47"/>
        <v>0</v>
      </c>
      <c r="T109">
        <f t="shared" ca="1" si="48"/>
        <v>0</v>
      </c>
      <c r="U109">
        <f t="shared" ca="1" si="49"/>
        <v>8.859344414501571</v>
      </c>
    </row>
    <row r="110" spans="1:21" ht="15" x14ac:dyDescent="0.3">
      <c r="A110" s="6">
        <v>109</v>
      </c>
      <c r="B110" s="6">
        <f t="shared" ca="1" si="56"/>
        <v>5.7535213149174123</v>
      </c>
      <c r="C110" s="9">
        <f t="shared" ca="1" si="57"/>
        <v>289.41395878594528</v>
      </c>
      <c r="D110" s="6">
        <f t="shared" ca="1" si="50"/>
        <v>0.77475468811778858</v>
      </c>
      <c r="E110" s="6" t="str">
        <f ca="1">LOOKUP(RAND(),{0,0.4,0.7,0.9},{"DEPOSIT","WITHDRAWAL","INQUIRY","LOAN"})</f>
        <v>INQUIRY</v>
      </c>
      <c r="F110" s="6" t="str">
        <f t="shared" ca="1" si="58"/>
        <v>t1</v>
      </c>
      <c r="G110" s="6">
        <f t="shared" ca="1" si="51"/>
        <v>1.0208353247854589</v>
      </c>
      <c r="H110" s="6">
        <f t="shared" ca="1" si="59"/>
        <v>290.43479411073076</v>
      </c>
      <c r="I110" s="6">
        <f t="shared" ca="1" si="60"/>
        <v>293.03842932857134</v>
      </c>
      <c r="J110" s="6">
        <f t="shared" ca="1" si="61"/>
        <v>297.03723617792815</v>
      </c>
      <c r="K110" s="9">
        <f t="shared" ca="1" si="62"/>
        <v>289.41395878594528</v>
      </c>
      <c r="L110" s="6">
        <f t="shared" ca="1" si="52"/>
        <v>290.43479411073076</v>
      </c>
      <c r="M110" s="6">
        <f t="shared" ca="1" si="63"/>
        <v>0</v>
      </c>
      <c r="N110" s="6">
        <f t="shared" ca="1" si="46"/>
        <v>0</v>
      </c>
      <c r="O110" s="6">
        <f ca="1">COUNTIFS($C$2:C109,"&lt;="&amp;C110,$L$2:L109,"&gt;"&amp;C110)</f>
        <v>2</v>
      </c>
      <c r="P110" s="9">
        <f t="shared" ca="1" si="53"/>
        <v>0</v>
      </c>
      <c r="Q110" s="9">
        <f t="shared" ca="1" si="54"/>
        <v>0</v>
      </c>
      <c r="R110" s="9">
        <f t="shared" ca="1" si="55"/>
        <v>0</v>
      </c>
      <c r="S110">
        <f t="shared" ca="1" si="47"/>
        <v>1.0208353247854589</v>
      </c>
      <c r="T110">
        <f t="shared" ca="1" si="48"/>
        <v>0</v>
      </c>
      <c r="U110">
        <f t="shared" ca="1" si="49"/>
        <v>0</v>
      </c>
    </row>
    <row r="111" spans="1:21" ht="15" x14ac:dyDescent="0.3">
      <c r="A111" s="6">
        <v>110</v>
      </c>
      <c r="B111" s="6">
        <f t="shared" ca="1" si="56"/>
        <v>0.36408947417777682</v>
      </c>
      <c r="C111" s="9">
        <f t="shared" ca="1" si="57"/>
        <v>289.77804826012306</v>
      </c>
      <c r="D111" s="6">
        <f t="shared" ca="1" si="50"/>
        <v>0.10778188671857936</v>
      </c>
      <c r="E111" s="6" t="str">
        <f ca="1">LOOKUP(RAND(),{0,0.4,0.7,0.9},{"DEPOSIT","WITHDRAWAL","INQUIRY","LOAN"})</f>
        <v>DEPOSIT</v>
      </c>
      <c r="F111" s="6" t="str">
        <f t="shared" ca="1" si="58"/>
        <v>t1</v>
      </c>
      <c r="G111" s="6">
        <f t="shared" ca="1" si="51"/>
        <v>11.138228306773161</v>
      </c>
      <c r="H111" s="6">
        <f t="shared" ca="1" si="59"/>
        <v>301.57302241750392</v>
      </c>
      <c r="I111" s="6">
        <f t="shared" ca="1" si="60"/>
        <v>293.03842932857134</v>
      </c>
      <c r="J111" s="6">
        <f t="shared" ca="1" si="61"/>
        <v>297.03723617792815</v>
      </c>
      <c r="K111" s="9">
        <f t="shared" ca="1" si="62"/>
        <v>290.43479411073076</v>
      </c>
      <c r="L111" s="6">
        <f t="shared" ca="1" si="52"/>
        <v>301.57302241750392</v>
      </c>
      <c r="M111" s="6">
        <f t="shared" ca="1" si="63"/>
        <v>0.65674585060770596</v>
      </c>
      <c r="N111" s="6">
        <f t="shared" ca="1" si="46"/>
        <v>1</v>
      </c>
      <c r="O111" s="6">
        <f ca="1">COUNTIFS($C$2:C110,"&lt;="&amp;C111,$L$2:L110,"&gt;"&amp;C111)</f>
        <v>3</v>
      </c>
      <c r="P111" s="9">
        <f t="shared" ca="1" si="53"/>
        <v>0</v>
      </c>
      <c r="Q111" s="9">
        <f t="shared" ca="1" si="54"/>
        <v>0</v>
      </c>
      <c r="R111" s="9">
        <f t="shared" ca="1" si="55"/>
        <v>0</v>
      </c>
      <c r="S111">
        <f t="shared" ca="1" si="47"/>
        <v>11.138228306773161</v>
      </c>
      <c r="T111">
        <f t="shared" ca="1" si="48"/>
        <v>0</v>
      </c>
      <c r="U111">
        <f t="shared" ca="1" si="49"/>
        <v>0</v>
      </c>
    </row>
    <row r="112" spans="1:21" ht="15" x14ac:dyDescent="0.3">
      <c r="A112" s="6">
        <v>111</v>
      </c>
      <c r="B112" s="6">
        <f t="shared" ca="1" si="56"/>
        <v>0.37954286081220939</v>
      </c>
      <c r="C112" s="9">
        <f t="shared" ca="1" si="57"/>
        <v>290.15759112093525</v>
      </c>
      <c r="D112" s="6">
        <f t="shared" ca="1" si="50"/>
        <v>0.76312055703998893</v>
      </c>
      <c r="E112" s="6" t="str">
        <f ca="1">LOOKUP(RAND(),{0,0.4,0.7,0.9},{"DEPOSIT","WITHDRAWAL","INQUIRY","LOAN"})</f>
        <v>WITHDRAWAL</v>
      </c>
      <c r="F112" s="6" t="str">
        <f t="shared" ca="1" si="58"/>
        <v>t2</v>
      </c>
      <c r="G112" s="6">
        <f t="shared" ca="1" si="51"/>
        <v>1.6220355371684205</v>
      </c>
      <c r="H112" s="6">
        <f t="shared" ca="1" si="59"/>
        <v>301.57302241750392</v>
      </c>
      <c r="I112" s="6">
        <f t="shared" ca="1" si="60"/>
        <v>294.66046486573975</v>
      </c>
      <c r="J112" s="6">
        <f t="shared" ca="1" si="61"/>
        <v>297.03723617792815</v>
      </c>
      <c r="K112" s="9">
        <f t="shared" ca="1" si="62"/>
        <v>293.03842932857134</v>
      </c>
      <c r="L112" s="6">
        <f t="shared" ca="1" si="52"/>
        <v>294.66046486573975</v>
      </c>
      <c r="M112" s="6">
        <f t="shared" ca="1" si="63"/>
        <v>2.8808382076360886</v>
      </c>
      <c r="N112" s="6">
        <f t="shared" ca="1" si="46"/>
        <v>1</v>
      </c>
      <c r="O112" s="6">
        <f ca="1">COUNTIFS($C$2:C111,"&lt;="&amp;C112,$L$2:L111,"&gt;"&amp;C112)</f>
        <v>4</v>
      </c>
      <c r="P112" s="9">
        <f t="shared" ca="1" si="53"/>
        <v>0</v>
      </c>
      <c r="Q112" s="9">
        <f t="shared" ca="1" si="54"/>
        <v>0</v>
      </c>
      <c r="R112" s="9">
        <f t="shared" ca="1" si="55"/>
        <v>0</v>
      </c>
      <c r="S112">
        <f t="shared" ca="1" si="47"/>
        <v>0</v>
      </c>
      <c r="T112">
        <f t="shared" ca="1" si="48"/>
        <v>1.6220355371684205</v>
      </c>
      <c r="U112">
        <f t="shared" ca="1" si="49"/>
        <v>0</v>
      </c>
    </row>
    <row r="113" spans="1:21" ht="15" x14ac:dyDescent="0.3">
      <c r="A113" s="6">
        <v>112</v>
      </c>
      <c r="B113" s="6">
        <f t="shared" ca="1" si="56"/>
        <v>0.26873225924939526</v>
      </c>
      <c r="C113" s="9">
        <f t="shared" ca="1" si="57"/>
        <v>290.42632338018467</v>
      </c>
      <c r="D113" s="6">
        <f t="shared" ca="1" si="50"/>
        <v>0.53037200400743278</v>
      </c>
      <c r="E113" s="6" t="str">
        <f ca="1">LOOKUP(RAND(),{0,0.4,0.7,0.9},{"DEPOSIT","WITHDRAWAL","INQUIRY","LOAN"})</f>
        <v>INQUIRY</v>
      </c>
      <c r="F113" s="6" t="str">
        <f t="shared" ca="1" si="58"/>
        <v>t2</v>
      </c>
      <c r="G113" s="6">
        <f t="shared" ca="1" si="51"/>
        <v>2.5367064971798445</v>
      </c>
      <c r="H113" s="6">
        <f t="shared" ca="1" si="59"/>
        <v>301.57302241750392</v>
      </c>
      <c r="I113" s="6">
        <f t="shared" ca="1" si="60"/>
        <v>297.19717136291962</v>
      </c>
      <c r="J113" s="6">
        <f t="shared" ca="1" si="61"/>
        <v>297.03723617792815</v>
      </c>
      <c r="K113" s="9">
        <f t="shared" ca="1" si="62"/>
        <v>294.66046486573975</v>
      </c>
      <c r="L113" s="6">
        <f t="shared" ca="1" si="52"/>
        <v>297.19717136291962</v>
      </c>
      <c r="M113" s="6">
        <f t="shared" ca="1" si="63"/>
        <v>4.2341414855550852</v>
      </c>
      <c r="N113" s="6">
        <f t="shared" ca="1" si="46"/>
        <v>1</v>
      </c>
      <c r="O113" s="6">
        <f ca="1">COUNTIFS($C$2:C112,"&lt;="&amp;C113,$L$2:L112,"&gt;"&amp;C113)</f>
        <v>5</v>
      </c>
      <c r="P113" s="9">
        <f t="shared" ca="1" si="53"/>
        <v>0</v>
      </c>
      <c r="Q113" s="9">
        <f t="shared" ca="1" si="54"/>
        <v>0</v>
      </c>
      <c r="R113" s="9">
        <f t="shared" ca="1" si="55"/>
        <v>0</v>
      </c>
      <c r="S113">
        <f t="shared" ca="1" si="47"/>
        <v>0</v>
      </c>
      <c r="T113">
        <f t="shared" ca="1" si="48"/>
        <v>2.5367064971798445</v>
      </c>
      <c r="U113">
        <f t="shared" ca="1" si="49"/>
        <v>0</v>
      </c>
    </row>
    <row r="114" spans="1:21" ht="15" x14ac:dyDescent="0.3">
      <c r="A114" s="6">
        <v>113</v>
      </c>
      <c r="B114" s="6">
        <f t="shared" ca="1" si="56"/>
        <v>6.2206298549409</v>
      </c>
      <c r="C114" s="9">
        <f t="shared" ca="1" si="57"/>
        <v>296.64695323512558</v>
      </c>
      <c r="D114" s="6">
        <f t="shared" ca="1" si="50"/>
        <v>0.6201206533604311</v>
      </c>
      <c r="E114" s="6" t="str">
        <f ca="1">LOOKUP(RAND(),{0,0.4,0.7,0.9},{"DEPOSIT","WITHDRAWAL","INQUIRY","LOAN"})</f>
        <v>DEPOSIT</v>
      </c>
      <c r="F114" s="6" t="str">
        <f t="shared" ca="1" si="58"/>
        <v>t3</v>
      </c>
      <c r="G114" s="6">
        <f t="shared" ca="1" si="51"/>
        <v>2.3892060884065347</v>
      </c>
      <c r="H114" s="6">
        <f t="shared" ca="1" si="59"/>
        <v>301.57302241750392</v>
      </c>
      <c r="I114" s="6">
        <f t="shared" ca="1" si="60"/>
        <v>297.19717136291962</v>
      </c>
      <c r="J114" s="6">
        <f t="shared" ca="1" si="61"/>
        <v>299.42644226633467</v>
      </c>
      <c r="K114" s="9">
        <f t="shared" ca="1" si="62"/>
        <v>297.03723617792815</v>
      </c>
      <c r="L114" s="6">
        <f t="shared" ca="1" si="52"/>
        <v>299.42644226633467</v>
      </c>
      <c r="M114" s="6">
        <f t="shared" ca="1" si="63"/>
        <v>0.39028294280257114</v>
      </c>
      <c r="N114" s="6">
        <f t="shared" ca="1" si="46"/>
        <v>1</v>
      </c>
      <c r="O114" s="6">
        <f ca="1">COUNTIFS($C$2:C113,"&lt;="&amp;C114,$L$2:L113,"&gt;"&amp;C114)</f>
        <v>3</v>
      </c>
      <c r="P114" s="9">
        <f t="shared" ca="1" si="53"/>
        <v>0</v>
      </c>
      <c r="Q114" s="9">
        <f t="shared" ca="1" si="54"/>
        <v>0</v>
      </c>
      <c r="R114" s="9">
        <f t="shared" ca="1" si="55"/>
        <v>0</v>
      </c>
      <c r="S114">
        <f t="shared" ca="1" si="47"/>
        <v>0</v>
      </c>
      <c r="T114">
        <f t="shared" ca="1" si="48"/>
        <v>0</v>
      </c>
      <c r="U114">
        <f t="shared" ca="1" si="49"/>
        <v>2.3892060884065347</v>
      </c>
    </row>
    <row r="115" spans="1:21" ht="15" x14ac:dyDescent="0.3">
      <c r="A115" s="6">
        <v>114</v>
      </c>
      <c r="B115" s="6">
        <f t="shared" ca="1" si="56"/>
        <v>9.9057426152332173</v>
      </c>
      <c r="C115" s="9">
        <f t="shared" ca="1" si="57"/>
        <v>306.55269585035882</v>
      </c>
      <c r="D115" s="6">
        <f t="shared" ca="1" si="50"/>
        <v>0.44458423866468466</v>
      </c>
      <c r="E115" s="6" t="str">
        <f ca="1">LOOKUP(RAND(),{0,0.4,0.7,0.9},{"DEPOSIT","WITHDRAWAL","INQUIRY","LOAN"})</f>
        <v>LOAN</v>
      </c>
      <c r="F115" s="6" t="str">
        <f t="shared" ca="1" si="58"/>
        <v>t1</v>
      </c>
      <c r="G115" s="6">
        <f t="shared" ca="1" si="51"/>
        <v>9.7273887441261451</v>
      </c>
      <c r="H115" s="6">
        <f t="shared" ca="1" si="59"/>
        <v>316.28008459448495</v>
      </c>
      <c r="I115" s="6">
        <f t="shared" ca="1" si="60"/>
        <v>297.19717136291962</v>
      </c>
      <c r="J115" s="6">
        <f t="shared" ca="1" si="61"/>
        <v>299.42644226633467</v>
      </c>
      <c r="K115" s="9">
        <f t="shared" ca="1" si="62"/>
        <v>306.55269585035882</v>
      </c>
      <c r="L115" s="6">
        <f t="shared" ca="1" si="52"/>
        <v>316.28008459448495</v>
      </c>
      <c r="M115" s="6">
        <f t="shared" ca="1" si="63"/>
        <v>0</v>
      </c>
      <c r="N115" s="6">
        <f t="shared" ca="1" si="46"/>
        <v>0</v>
      </c>
      <c r="O115" s="6">
        <f ca="1">COUNTIFS($C$2:C114,"&lt;="&amp;C115,$L$2:L114,"&gt;"&amp;C115)</f>
        <v>0</v>
      </c>
      <c r="P115" s="9">
        <f t="shared" ca="1" si="53"/>
        <v>0</v>
      </c>
      <c r="Q115" s="9">
        <f t="shared" ca="1" si="54"/>
        <v>9.3555244874391974</v>
      </c>
      <c r="R115" s="9">
        <f t="shared" ca="1" si="55"/>
        <v>7.1262535840241412</v>
      </c>
      <c r="S115">
        <f t="shared" ca="1" si="47"/>
        <v>9.7273887441261451</v>
      </c>
      <c r="T115">
        <f t="shared" ca="1" si="48"/>
        <v>0</v>
      </c>
      <c r="U115">
        <f t="shared" ca="1" si="49"/>
        <v>0</v>
      </c>
    </row>
    <row r="116" spans="1:21" ht="15" x14ac:dyDescent="0.3">
      <c r="A116" s="6">
        <v>115</v>
      </c>
      <c r="B116" s="6">
        <f t="shared" ca="1" si="56"/>
        <v>7.2771203570734873</v>
      </c>
      <c r="C116" s="9">
        <f t="shared" ca="1" si="57"/>
        <v>313.82981620743232</v>
      </c>
      <c r="D116" s="6">
        <f t="shared" ca="1" si="50"/>
        <v>0.24943471159248576</v>
      </c>
      <c r="E116" s="6" t="str">
        <f ca="1">LOOKUP(RAND(),{0,0.4,0.7,0.9},{"DEPOSIT","WITHDRAWAL","INQUIRY","LOAN"})</f>
        <v>DEPOSIT</v>
      </c>
      <c r="F116" s="6" t="str">
        <f t="shared" ca="1" si="58"/>
        <v>t2</v>
      </c>
      <c r="G116" s="6">
        <f t="shared" ca="1" si="51"/>
        <v>6.9427903750899231</v>
      </c>
      <c r="H116" s="6">
        <f t="shared" ca="1" si="59"/>
        <v>316.28008459448495</v>
      </c>
      <c r="I116" s="6">
        <f t="shared" ca="1" si="60"/>
        <v>320.77260658252226</v>
      </c>
      <c r="J116" s="6">
        <f t="shared" ca="1" si="61"/>
        <v>299.42644226633467</v>
      </c>
      <c r="K116" s="9">
        <f t="shared" ca="1" si="62"/>
        <v>313.82981620743232</v>
      </c>
      <c r="L116" s="6">
        <f t="shared" ca="1" si="52"/>
        <v>320.77260658252226</v>
      </c>
      <c r="M116" s="6">
        <f t="shared" ca="1" si="63"/>
        <v>0</v>
      </c>
      <c r="N116" s="6">
        <f t="shared" ca="1" si="46"/>
        <v>0</v>
      </c>
      <c r="O116" s="6">
        <f ca="1">COUNTIFS($C$2:C115,"&lt;="&amp;C116,$L$2:L115,"&gt;"&amp;C116)</f>
        <v>1</v>
      </c>
      <c r="P116" s="9">
        <f t="shared" ca="1" si="53"/>
        <v>0</v>
      </c>
      <c r="Q116" s="9">
        <f t="shared" ca="1" si="54"/>
        <v>0</v>
      </c>
      <c r="R116" s="9">
        <f t="shared" ca="1" si="55"/>
        <v>14.403373941097641</v>
      </c>
      <c r="S116">
        <f t="shared" ca="1" si="47"/>
        <v>0</v>
      </c>
      <c r="T116">
        <f t="shared" ca="1" si="48"/>
        <v>6.9427903750899231</v>
      </c>
      <c r="U116">
        <f t="shared" ca="1" si="49"/>
        <v>0</v>
      </c>
    </row>
    <row r="117" spans="1:21" ht="15" x14ac:dyDescent="0.3">
      <c r="A117" s="6">
        <v>116</v>
      </c>
      <c r="B117" s="6">
        <f t="shared" ca="1" si="56"/>
        <v>1.9018823180524731</v>
      </c>
      <c r="C117" s="9">
        <f t="shared" ca="1" si="57"/>
        <v>315.73169852548477</v>
      </c>
      <c r="D117" s="6">
        <f t="shared" ca="1" si="50"/>
        <v>0.72736279204054466</v>
      </c>
      <c r="E117" s="6" t="str">
        <f ca="1">LOOKUP(RAND(),{0,0.4,0.7,0.9},{"DEPOSIT","WITHDRAWAL","INQUIRY","LOAN"})</f>
        <v>DEPOSIT</v>
      </c>
      <c r="F117" s="6" t="str">
        <f t="shared" ca="1" si="58"/>
        <v>t3</v>
      </c>
      <c r="G117" s="6">
        <f t="shared" ca="1" si="51"/>
        <v>1.591649498651043</v>
      </c>
      <c r="H117" s="6">
        <f t="shared" ca="1" si="59"/>
        <v>316.28008459448495</v>
      </c>
      <c r="I117" s="6">
        <f t="shared" ca="1" si="60"/>
        <v>320.77260658252226</v>
      </c>
      <c r="J117" s="6">
        <f t="shared" ca="1" si="61"/>
        <v>317.32334802413584</v>
      </c>
      <c r="K117" s="9">
        <f t="shared" ca="1" si="62"/>
        <v>315.73169852548477</v>
      </c>
      <c r="L117" s="6">
        <f t="shared" ca="1" si="52"/>
        <v>317.32334802413584</v>
      </c>
      <c r="M117" s="6">
        <f t="shared" ca="1" si="63"/>
        <v>0</v>
      </c>
      <c r="N117" s="6">
        <f t="shared" ca="1" si="46"/>
        <v>0</v>
      </c>
      <c r="O117" s="6">
        <f ca="1">COUNTIFS($C$2:C116,"&lt;="&amp;C117,$L$2:L116,"&gt;"&amp;C117)</f>
        <v>2</v>
      </c>
      <c r="P117" s="9">
        <f t="shared" ca="1" si="53"/>
        <v>0</v>
      </c>
      <c r="Q117" s="9">
        <f t="shared" ca="1" si="54"/>
        <v>0</v>
      </c>
      <c r="R117" s="9">
        <f t="shared" ca="1" si="55"/>
        <v>0</v>
      </c>
      <c r="S117">
        <f t="shared" ca="1" si="47"/>
        <v>0</v>
      </c>
      <c r="T117">
        <f t="shared" ca="1" si="48"/>
        <v>0</v>
      </c>
      <c r="U117">
        <f t="shared" ca="1" si="49"/>
        <v>1.591649498651043</v>
      </c>
    </row>
    <row r="118" spans="1:21" ht="15" x14ac:dyDescent="0.3">
      <c r="A118" s="6">
        <v>117</v>
      </c>
      <c r="B118" s="6">
        <f t="shared" ca="1" si="56"/>
        <v>1.321914801514104</v>
      </c>
      <c r="C118" s="9">
        <f t="shared" ca="1" si="57"/>
        <v>317.05361332699886</v>
      </c>
      <c r="D118" s="6">
        <f t="shared" ca="1" si="50"/>
        <v>9.5864031510649039E-2</v>
      </c>
      <c r="E118" s="6" t="str">
        <f ca="1">LOOKUP(RAND(),{0,0.4,0.7,0.9},{"DEPOSIT","WITHDRAWAL","INQUIRY","LOAN"})</f>
        <v>DEPOSIT</v>
      </c>
      <c r="F118" s="6" t="str">
        <f t="shared" ca="1" si="58"/>
        <v>t1</v>
      </c>
      <c r="G118" s="6">
        <f t="shared" ca="1" si="51"/>
        <v>11.724122149501937</v>
      </c>
      <c r="H118" s="6">
        <f t="shared" ca="1" si="59"/>
        <v>328.77773547650077</v>
      </c>
      <c r="I118" s="6">
        <f t="shared" ca="1" si="60"/>
        <v>320.77260658252226</v>
      </c>
      <c r="J118" s="6">
        <f t="shared" ca="1" si="61"/>
        <v>317.32334802413584</v>
      </c>
      <c r="K118" s="9">
        <f t="shared" ca="1" si="62"/>
        <v>317.05361332699886</v>
      </c>
      <c r="L118" s="6">
        <f t="shared" ca="1" si="52"/>
        <v>328.77773547650077</v>
      </c>
      <c r="M118" s="6">
        <f t="shared" ca="1" si="63"/>
        <v>0</v>
      </c>
      <c r="N118" s="6">
        <f t="shared" ca="1" si="46"/>
        <v>0</v>
      </c>
      <c r="O118" s="6">
        <f ca="1">COUNTIFS($C$2:C117,"&lt;="&amp;C118,$L$2:L117,"&gt;"&amp;C118)</f>
        <v>2</v>
      </c>
      <c r="P118" s="9">
        <f t="shared" ca="1" si="53"/>
        <v>0</v>
      </c>
      <c r="Q118" s="9">
        <f t="shared" ca="1" si="54"/>
        <v>0</v>
      </c>
      <c r="R118" s="9">
        <f t="shared" ca="1" si="55"/>
        <v>0</v>
      </c>
      <c r="S118">
        <f t="shared" ca="1" si="47"/>
        <v>11.724122149501937</v>
      </c>
      <c r="T118">
        <f t="shared" ca="1" si="48"/>
        <v>0</v>
      </c>
      <c r="U118">
        <f t="shared" ca="1" si="49"/>
        <v>0</v>
      </c>
    </row>
    <row r="119" spans="1:21" ht="15" x14ac:dyDescent="0.3">
      <c r="A119" s="6">
        <v>118</v>
      </c>
      <c r="B119" s="6">
        <f t="shared" ca="1" si="56"/>
        <v>1.8544833764985877</v>
      </c>
      <c r="C119" s="9">
        <f t="shared" ca="1" si="57"/>
        <v>318.90809670349745</v>
      </c>
      <c r="D119" s="6">
        <f t="shared" ca="1" si="50"/>
        <v>0.77620249061486224</v>
      </c>
      <c r="E119" s="6" t="str">
        <f ca="1">LOOKUP(RAND(),{0,0.4,0.7,0.9},{"DEPOSIT","WITHDRAWAL","INQUIRY","LOAN"})</f>
        <v>INQUIRY</v>
      </c>
      <c r="F119" s="6" t="str">
        <f t="shared" ca="1" si="58"/>
        <v>t3</v>
      </c>
      <c r="G119" s="6">
        <f t="shared" ca="1" si="51"/>
        <v>1.0133674052969441</v>
      </c>
      <c r="H119" s="6">
        <f t="shared" ca="1" si="59"/>
        <v>328.77773547650077</v>
      </c>
      <c r="I119" s="6">
        <f t="shared" ca="1" si="60"/>
        <v>320.77260658252226</v>
      </c>
      <c r="J119" s="6">
        <f t="shared" ca="1" si="61"/>
        <v>319.9214641087944</v>
      </c>
      <c r="K119" s="9">
        <f t="shared" ca="1" si="62"/>
        <v>318.90809670349745</v>
      </c>
      <c r="L119" s="6">
        <f t="shared" ca="1" si="52"/>
        <v>319.9214641087944</v>
      </c>
      <c r="M119" s="6">
        <f t="shared" ca="1" si="63"/>
        <v>0</v>
      </c>
      <c r="N119" s="6">
        <f t="shared" ca="1" si="46"/>
        <v>0</v>
      </c>
      <c r="O119" s="6">
        <f ca="1">COUNTIFS($C$2:C118,"&lt;="&amp;C119,$L$2:L118,"&gt;"&amp;C119)</f>
        <v>2</v>
      </c>
      <c r="P119" s="9">
        <f t="shared" ca="1" si="53"/>
        <v>0</v>
      </c>
      <c r="Q119" s="9">
        <f t="shared" ca="1" si="54"/>
        <v>0</v>
      </c>
      <c r="R119" s="9">
        <f t="shared" ca="1" si="55"/>
        <v>0</v>
      </c>
      <c r="S119">
        <f t="shared" ca="1" si="47"/>
        <v>0</v>
      </c>
      <c r="T119">
        <f t="shared" ca="1" si="48"/>
        <v>0</v>
      </c>
      <c r="U119">
        <f t="shared" ca="1" si="49"/>
        <v>1.0133674052969441</v>
      </c>
    </row>
    <row r="120" spans="1:21" ht="15" x14ac:dyDescent="0.3">
      <c r="A120" s="6">
        <v>119</v>
      </c>
      <c r="B120" s="6">
        <f t="shared" ca="1" si="56"/>
        <v>3.607144498081146</v>
      </c>
      <c r="C120" s="9">
        <f t="shared" ca="1" si="57"/>
        <v>322.51524120157859</v>
      </c>
      <c r="D120" s="6">
        <f t="shared" ca="1" si="50"/>
        <v>0.11095028247213434</v>
      </c>
      <c r="E120" s="6" t="str">
        <f ca="1">LOOKUP(RAND(),{0,0.4,0.7,0.9},{"DEPOSIT","WITHDRAWAL","INQUIRY","LOAN"})</f>
        <v>LOAN</v>
      </c>
      <c r="F120" s="6" t="str">
        <f t="shared" ca="1" si="58"/>
        <v>t3</v>
      </c>
      <c r="G120" s="6">
        <f t="shared" ca="1" si="51"/>
        <v>26.384077003991422</v>
      </c>
      <c r="H120" s="6">
        <f t="shared" ca="1" si="59"/>
        <v>328.77773547650077</v>
      </c>
      <c r="I120" s="6">
        <f t="shared" ca="1" si="60"/>
        <v>320.77260658252226</v>
      </c>
      <c r="J120" s="6">
        <f t="shared" ca="1" si="61"/>
        <v>348.89931820557001</v>
      </c>
      <c r="K120" s="9">
        <f t="shared" ca="1" si="62"/>
        <v>322.51524120157859</v>
      </c>
      <c r="L120" s="6">
        <f t="shared" ca="1" si="52"/>
        <v>348.89931820557001</v>
      </c>
      <c r="M120" s="6">
        <f t="shared" ca="1" si="63"/>
        <v>0</v>
      </c>
      <c r="N120" s="6">
        <f t="shared" ca="1" si="46"/>
        <v>0</v>
      </c>
      <c r="O120" s="6">
        <f ca="1">COUNTIFS($C$2:C119,"&lt;="&amp;C120,$L$2:L119,"&gt;"&amp;C120)</f>
        <v>1</v>
      </c>
      <c r="P120" s="9">
        <f t="shared" ca="1" si="53"/>
        <v>0</v>
      </c>
      <c r="Q120" s="9">
        <f t="shared" ca="1" si="54"/>
        <v>1.7426346190563322</v>
      </c>
      <c r="R120" s="9">
        <f t="shared" ca="1" si="55"/>
        <v>0</v>
      </c>
      <c r="S120">
        <f t="shared" ca="1" si="47"/>
        <v>0</v>
      </c>
      <c r="T120">
        <f t="shared" ca="1" si="48"/>
        <v>0</v>
      </c>
      <c r="U120">
        <f t="shared" ca="1" si="49"/>
        <v>26.384077003991422</v>
      </c>
    </row>
    <row r="121" spans="1:21" ht="15" x14ac:dyDescent="0.3">
      <c r="A121" s="6">
        <v>120</v>
      </c>
      <c r="B121" s="6">
        <f t="shared" ca="1" si="56"/>
        <v>4.4074498969191254</v>
      </c>
      <c r="C121" s="9">
        <f t="shared" ca="1" si="57"/>
        <v>326.92269109849769</v>
      </c>
      <c r="D121" s="6">
        <f t="shared" ca="1" si="50"/>
        <v>0.89346494577474223</v>
      </c>
      <c r="E121" s="6" t="str">
        <f ca="1">LOOKUP(RAND(),{0,0.4,0.7,0.9},{"DEPOSIT","WITHDRAWAL","INQUIRY","LOAN"})</f>
        <v>DEPOSIT</v>
      </c>
      <c r="F121" s="6" t="str">
        <f t="shared" ca="1" si="58"/>
        <v>t2</v>
      </c>
      <c r="G121" s="6">
        <f t="shared" ca="1" si="51"/>
        <v>1</v>
      </c>
      <c r="H121" s="6">
        <f t="shared" ca="1" si="59"/>
        <v>328.77773547650077</v>
      </c>
      <c r="I121" s="6">
        <f t="shared" ca="1" si="60"/>
        <v>327.92269109849769</v>
      </c>
      <c r="J121" s="6">
        <f t="shared" ca="1" si="61"/>
        <v>348.89931820557001</v>
      </c>
      <c r="K121" s="9">
        <f t="shared" ca="1" si="62"/>
        <v>326.92269109849769</v>
      </c>
      <c r="L121" s="6">
        <f t="shared" ca="1" si="52"/>
        <v>327.92269109849769</v>
      </c>
      <c r="M121" s="6">
        <f t="shared" ca="1" si="63"/>
        <v>0</v>
      </c>
      <c r="N121" s="6">
        <f t="shared" ca="1" si="46"/>
        <v>0</v>
      </c>
      <c r="O121" s="6">
        <f ca="1">COUNTIFS($C$2:C120,"&lt;="&amp;C121,$L$2:L120,"&gt;"&amp;C121)</f>
        <v>2</v>
      </c>
      <c r="P121" s="9">
        <f t="shared" ca="1" si="53"/>
        <v>0</v>
      </c>
      <c r="Q121" s="9">
        <f t="shared" ca="1" si="54"/>
        <v>0</v>
      </c>
      <c r="R121" s="9">
        <f t="shared" ca="1" si="55"/>
        <v>0</v>
      </c>
      <c r="S121">
        <f t="shared" ca="1" si="47"/>
        <v>0</v>
      </c>
      <c r="T121">
        <f t="shared" ca="1" si="48"/>
        <v>1</v>
      </c>
      <c r="U121">
        <f t="shared" ca="1" si="49"/>
        <v>0</v>
      </c>
    </row>
    <row r="122" spans="1:21" ht="15" x14ac:dyDescent="0.3">
      <c r="A122" s="6">
        <v>121</v>
      </c>
      <c r="B122" s="6">
        <f t="shared" ca="1" si="56"/>
        <v>0.73991331090431467</v>
      </c>
      <c r="C122" s="9">
        <f t="shared" ca="1" si="57"/>
        <v>327.66260440940204</v>
      </c>
      <c r="D122" s="6">
        <f t="shared" ca="1" si="50"/>
        <v>0.53836019643755084</v>
      </c>
      <c r="E122" s="6" t="str">
        <f ca="1">LOOKUP(RAND(),{0,0.4,0.7,0.9},{"DEPOSIT","WITHDRAWAL","INQUIRY","LOAN"})</f>
        <v>WITHDRAWAL</v>
      </c>
      <c r="F122" s="6" t="str">
        <f t="shared" ca="1" si="58"/>
        <v>t2</v>
      </c>
      <c r="G122" s="6">
        <f t="shared" ca="1" si="51"/>
        <v>3.715364596411729</v>
      </c>
      <c r="H122" s="6">
        <f t="shared" ca="1" si="59"/>
        <v>328.77773547650077</v>
      </c>
      <c r="I122" s="6">
        <f t="shared" ca="1" si="60"/>
        <v>331.63805569490944</v>
      </c>
      <c r="J122" s="6">
        <f t="shared" ca="1" si="61"/>
        <v>348.89931820557001</v>
      </c>
      <c r="K122" s="9">
        <f t="shared" ca="1" si="62"/>
        <v>327.92269109849769</v>
      </c>
      <c r="L122" s="6">
        <f t="shared" ca="1" si="52"/>
        <v>331.63805569490944</v>
      </c>
      <c r="M122" s="6">
        <f t="shared" ca="1" si="63"/>
        <v>0.26008668909565813</v>
      </c>
      <c r="N122" s="6">
        <f t="shared" ca="1" si="46"/>
        <v>1</v>
      </c>
      <c r="O122" s="6">
        <f ca="1">COUNTIFS($C$2:C121,"&lt;="&amp;C122,$L$2:L121,"&gt;"&amp;C122)</f>
        <v>3</v>
      </c>
      <c r="P122" s="9">
        <f t="shared" ca="1" si="53"/>
        <v>0</v>
      </c>
      <c r="Q122" s="9">
        <f t="shared" ca="1" si="54"/>
        <v>0</v>
      </c>
      <c r="R122" s="9">
        <f t="shared" ca="1" si="55"/>
        <v>0</v>
      </c>
      <c r="S122">
        <f t="shared" ca="1" si="47"/>
        <v>0</v>
      </c>
      <c r="T122">
        <f t="shared" ca="1" si="48"/>
        <v>3.715364596411729</v>
      </c>
      <c r="U122">
        <f t="shared" ca="1" si="49"/>
        <v>0</v>
      </c>
    </row>
    <row r="123" spans="1:21" ht="15" x14ac:dyDescent="0.3">
      <c r="A123" s="6">
        <v>122</v>
      </c>
      <c r="B123" s="6">
        <f t="shared" ca="1" si="56"/>
        <v>3.1802839685556021</v>
      </c>
      <c r="C123" s="9">
        <f t="shared" ca="1" si="57"/>
        <v>330.84288837795765</v>
      </c>
      <c r="D123" s="6">
        <f t="shared" ca="1" si="50"/>
        <v>0.34337599910308192</v>
      </c>
      <c r="E123" s="6" t="str">
        <f ca="1">LOOKUP(RAND(),{0,0.4,0.7,0.9},{"DEPOSIT","WITHDRAWAL","INQUIRY","LOAN"})</f>
        <v>WITHDRAWAL</v>
      </c>
      <c r="F123" s="6" t="str">
        <f t="shared" ca="1" si="58"/>
        <v>t1</v>
      </c>
      <c r="G123" s="6">
        <f t="shared" ca="1" si="51"/>
        <v>6.4135753494904151</v>
      </c>
      <c r="H123" s="6">
        <f t="shared" ca="1" si="59"/>
        <v>337.25646372744808</v>
      </c>
      <c r="I123" s="6">
        <f t="shared" ca="1" si="60"/>
        <v>331.63805569490944</v>
      </c>
      <c r="J123" s="6">
        <f t="shared" ca="1" si="61"/>
        <v>348.89931820557001</v>
      </c>
      <c r="K123" s="9">
        <f t="shared" ca="1" si="62"/>
        <v>330.84288837795765</v>
      </c>
      <c r="L123" s="6">
        <f t="shared" ca="1" si="52"/>
        <v>337.25646372744808</v>
      </c>
      <c r="M123" s="6">
        <f t="shared" ca="1" si="63"/>
        <v>0</v>
      </c>
      <c r="N123" s="6">
        <f t="shared" ca="1" si="46"/>
        <v>0</v>
      </c>
      <c r="O123" s="6">
        <f ca="1">COUNTIFS($C$2:C122,"&lt;="&amp;C123,$L$2:L122,"&gt;"&amp;C123)</f>
        <v>2</v>
      </c>
      <c r="P123" s="9">
        <f t="shared" ca="1" si="53"/>
        <v>0</v>
      </c>
      <c r="Q123" s="9">
        <f t="shared" ca="1" si="54"/>
        <v>0</v>
      </c>
      <c r="R123" s="9">
        <f t="shared" ca="1" si="55"/>
        <v>0</v>
      </c>
      <c r="S123">
        <f t="shared" ca="1" si="47"/>
        <v>6.4135753494904151</v>
      </c>
      <c r="T123">
        <f t="shared" ca="1" si="48"/>
        <v>0</v>
      </c>
      <c r="U123">
        <f t="shared" ca="1" si="49"/>
        <v>0</v>
      </c>
    </row>
    <row r="124" spans="1:21" ht="15" x14ac:dyDescent="0.3">
      <c r="A124" s="6">
        <v>123</v>
      </c>
      <c r="B124" s="6">
        <f t="shared" ca="1" si="56"/>
        <v>1.0424332441389215</v>
      </c>
      <c r="C124" s="9">
        <f t="shared" ca="1" si="57"/>
        <v>331.88532162209657</v>
      </c>
      <c r="D124" s="6">
        <f t="shared" ca="1" si="50"/>
        <v>0.97272858763647585</v>
      </c>
      <c r="E124" s="6" t="str">
        <f ca="1">LOOKUP(RAND(),{0,0.4,0.7,0.9},{"DEPOSIT","WITHDRAWAL","INQUIRY","LOAN"})</f>
        <v>DEPOSIT</v>
      </c>
      <c r="F124" s="6" t="str">
        <f t="shared" ca="1" si="58"/>
        <v>t2</v>
      </c>
      <c r="G124" s="6">
        <f t="shared" ca="1" si="51"/>
        <v>1</v>
      </c>
      <c r="H124" s="6">
        <f t="shared" ca="1" si="59"/>
        <v>337.25646372744808</v>
      </c>
      <c r="I124" s="6">
        <f t="shared" ca="1" si="60"/>
        <v>332.88532162209657</v>
      </c>
      <c r="J124" s="6">
        <f t="shared" ca="1" si="61"/>
        <v>348.89931820557001</v>
      </c>
      <c r="K124" s="9">
        <f t="shared" ca="1" si="62"/>
        <v>331.88532162209657</v>
      </c>
      <c r="L124" s="6">
        <f t="shared" ca="1" si="52"/>
        <v>332.88532162209657</v>
      </c>
      <c r="M124" s="6">
        <f t="shared" ca="1" si="63"/>
        <v>0</v>
      </c>
      <c r="N124" s="6">
        <f t="shared" ca="1" si="46"/>
        <v>0</v>
      </c>
      <c r="O124" s="6">
        <f ca="1">COUNTIFS($C$2:C123,"&lt;="&amp;C124,$L$2:L123,"&gt;"&amp;C124)</f>
        <v>2</v>
      </c>
      <c r="P124" s="9">
        <f t="shared" ca="1" si="53"/>
        <v>0</v>
      </c>
      <c r="Q124" s="9">
        <f t="shared" ca="1" si="54"/>
        <v>0</v>
      </c>
      <c r="R124" s="9">
        <f t="shared" ca="1" si="55"/>
        <v>0</v>
      </c>
      <c r="S124">
        <f t="shared" ca="1" si="47"/>
        <v>0</v>
      </c>
      <c r="T124">
        <f t="shared" ca="1" si="48"/>
        <v>1</v>
      </c>
      <c r="U124">
        <f t="shared" ca="1" si="49"/>
        <v>0</v>
      </c>
    </row>
    <row r="125" spans="1:21" ht="15" x14ac:dyDescent="0.3">
      <c r="A125" s="6">
        <v>124</v>
      </c>
      <c r="B125" s="6">
        <f t="shared" ca="1" si="56"/>
        <v>1.2839710377538853</v>
      </c>
      <c r="C125" s="9">
        <f t="shared" ca="1" si="57"/>
        <v>333.16929265985044</v>
      </c>
      <c r="D125" s="6">
        <f t="shared" ca="1" si="50"/>
        <v>0.76273177985503304</v>
      </c>
      <c r="E125" s="6" t="str">
        <f ca="1">LOOKUP(RAND(),{0,0.4,0.7,0.9},{"DEPOSIT","WITHDRAWAL","INQUIRY","LOAN"})</f>
        <v>WITHDRAWAL</v>
      </c>
      <c r="F125" s="6" t="str">
        <f t="shared" ca="1" si="58"/>
        <v>t2</v>
      </c>
      <c r="G125" s="6">
        <f t="shared" ca="1" si="51"/>
        <v>1.6250930586648462</v>
      </c>
      <c r="H125" s="6">
        <f t="shared" ca="1" si="59"/>
        <v>337.25646372744808</v>
      </c>
      <c r="I125" s="6">
        <f t="shared" ca="1" si="60"/>
        <v>334.79438571851529</v>
      </c>
      <c r="J125" s="6">
        <f t="shared" ca="1" si="61"/>
        <v>348.89931820557001</v>
      </c>
      <c r="K125" s="9">
        <f t="shared" ca="1" si="62"/>
        <v>333.16929265985044</v>
      </c>
      <c r="L125" s="6">
        <f t="shared" ca="1" si="52"/>
        <v>334.79438571851529</v>
      </c>
      <c r="M125" s="6">
        <f t="shared" ca="1" si="63"/>
        <v>0</v>
      </c>
      <c r="N125" s="6">
        <f t="shared" ca="1" si="46"/>
        <v>0</v>
      </c>
      <c r="O125" s="6">
        <f ca="1">COUNTIFS($C$2:C124,"&lt;="&amp;C125,$L$2:L124,"&gt;"&amp;C125)</f>
        <v>2</v>
      </c>
      <c r="P125" s="9">
        <f t="shared" ca="1" si="53"/>
        <v>0</v>
      </c>
      <c r="Q125" s="9">
        <f t="shared" ca="1" si="54"/>
        <v>0</v>
      </c>
      <c r="R125" s="9">
        <f t="shared" ca="1" si="55"/>
        <v>0</v>
      </c>
      <c r="S125">
        <f t="shared" ca="1" si="47"/>
        <v>0</v>
      </c>
      <c r="T125">
        <f t="shared" ca="1" si="48"/>
        <v>1.6250930586648462</v>
      </c>
      <c r="U125">
        <f t="shared" ca="1" si="49"/>
        <v>0</v>
      </c>
    </row>
    <row r="126" spans="1:21" ht="15" x14ac:dyDescent="0.3">
      <c r="A126" s="6">
        <v>125</v>
      </c>
      <c r="B126" s="6">
        <f t="shared" ca="1" si="56"/>
        <v>14.866878762222937</v>
      </c>
      <c r="C126" s="9">
        <f t="shared" ca="1" si="57"/>
        <v>348.03617142207338</v>
      </c>
      <c r="D126" s="6">
        <f t="shared" ca="1" si="50"/>
        <v>0.46745888987387318</v>
      </c>
      <c r="E126" s="6" t="str">
        <f ca="1">LOOKUP(RAND(),{0,0.4,0.7,0.9},{"DEPOSIT","WITHDRAWAL","INQUIRY","LOAN"})</f>
        <v>LOAN</v>
      </c>
      <c r="F126" s="6" t="str">
        <f t="shared" ca="1" si="58"/>
        <v>t2</v>
      </c>
      <c r="G126" s="6">
        <f t="shared" ca="1" si="51"/>
        <v>9.1253264426240133</v>
      </c>
      <c r="H126" s="6">
        <f t="shared" ca="1" si="59"/>
        <v>337.25646372744808</v>
      </c>
      <c r="I126" s="6">
        <f t="shared" ca="1" si="60"/>
        <v>357.16149786469737</v>
      </c>
      <c r="J126" s="6">
        <f t="shared" ca="1" si="61"/>
        <v>348.89931820557001</v>
      </c>
      <c r="K126" s="9">
        <f t="shared" ca="1" si="62"/>
        <v>348.03617142207338</v>
      </c>
      <c r="L126" s="6">
        <f t="shared" ca="1" si="52"/>
        <v>357.16149786469737</v>
      </c>
      <c r="M126" s="6">
        <f t="shared" ca="1" si="63"/>
        <v>0</v>
      </c>
      <c r="N126" s="6">
        <f t="shared" ca="1" si="46"/>
        <v>0</v>
      </c>
      <c r="O126" s="6">
        <f ca="1">COUNTIFS($C$2:C125,"&lt;="&amp;C126,$L$2:L125,"&gt;"&amp;C126)</f>
        <v>1</v>
      </c>
      <c r="P126" s="9">
        <f t="shared" ca="1" si="53"/>
        <v>10.779707694625301</v>
      </c>
      <c r="Q126" s="9">
        <f t="shared" ca="1" si="54"/>
        <v>0</v>
      </c>
      <c r="R126" s="9">
        <f t="shared" ca="1" si="55"/>
        <v>0</v>
      </c>
      <c r="S126">
        <f t="shared" ca="1" si="47"/>
        <v>0</v>
      </c>
      <c r="T126">
        <f t="shared" ca="1" si="48"/>
        <v>9.1253264426240133</v>
      </c>
      <c r="U126">
        <f t="shared" ca="1" si="49"/>
        <v>0</v>
      </c>
    </row>
    <row r="127" spans="1:21" ht="15" x14ac:dyDescent="0.3">
      <c r="A127" s="6">
        <v>126</v>
      </c>
      <c r="B127" s="6">
        <f t="shared" ca="1" si="56"/>
        <v>0.49452364897964296</v>
      </c>
      <c r="C127" s="9">
        <f t="shared" ca="1" si="57"/>
        <v>348.530695071053</v>
      </c>
      <c r="D127" s="6">
        <f t="shared" ca="1" si="50"/>
        <v>0.37427357640793213</v>
      </c>
      <c r="E127" s="6" t="str">
        <f ca="1">LOOKUP(RAND(),{0,0.4,0.7,0.9},{"DEPOSIT","WITHDRAWAL","INQUIRY","LOAN"})</f>
        <v>INQUIRY</v>
      </c>
      <c r="F127" s="6" t="str">
        <f t="shared" ca="1" si="58"/>
        <v>t1</v>
      </c>
      <c r="G127" s="6">
        <f t="shared" ca="1" si="51"/>
        <v>3.931073045010439</v>
      </c>
      <c r="H127" s="6">
        <f t="shared" ca="1" si="59"/>
        <v>352.46176811606347</v>
      </c>
      <c r="I127" s="6">
        <f t="shared" ca="1" si="60"/>
        <v>357.16149786469737</v>
      </c>
      <c r="J127" s="6">
        <f t="shared" ca="1" si="61"/>
        <v>348.89931820557001</v>
      </c>
      <c r="K127" s="9">
        <f t="shared" ca="1" si="62"/>
        <v>348.530695071053</v>
      </c>
      <c r="L127" s="6">
        <f t="shared" ca="1" si="52"/>
        <v>352.46176811606347</v>
      </c>
      <c r="M127" s="6">
        <f t="shared" ca="1" si="63"/>
        <v>0</v>
      </c>
      <c r="N127" s="6">
        <f t="shared" ca="1" si="46"/>
        <v>0</v>
      </c>
      <c r="O127" s="6">
        <f ca="1">COUNTIFS($C$2:C126,"&lt;="&amp;C127,$L$2:L126,"&gt;"&amp;C127)</f>
        <v>2</v>
      </c>
      <c r="P127" s="9">
        <f t="shared" ca="1" si="53"/>
        <v>0</v>
      </c>
      <c r="Q127" s="9">
        <f t="shared" ca="1" si="54"/>
        <v>0</v>
      </c>
      <c r="R127" s="9">
        <f t="shared" ca="1" si="55"/>
        <v>0</v>
      </c>
      <c r="S127">
        <f t="shared" ca="1" si="47"/>
        <v>3.931073045010439</v>
      </c>
      <c r="T127">
        <f t="shared" ca="1" si="48"/>
        <v>0</v>
      </c>
      <c r="U127">
        <f t="shared" ca="1" si="49"/>
        <v>0</v>
      </c>
    </row>
    <row r="128" spans="1:21" ht="15" x14ac:dyDescent="0.3">
      <c r="A128" s="6">
        <v>127</v>
      </c>
      <c r="B128" s="6">
        <f t="shared" ca="1" si="56"/>
        <v>9.2603199566376929E-2</v>
      </c>
      <c r="C128" s="9">
        <f t="shared" ca="1" si="57"/>
        <v>348.62329827061939</v>
      </c>
      <c r="D128" s="6">
        <f t="shared" ca="1" si="50"/>
        <v>0.8114138630658726</v>
      </c>
      <c r="E128" s="6" t="str">
        <f ca="1">LOOKUP(RAND(),{0,0.4,0.7,0.9},{"DEPOSIT","WITHDRAWAL","INQUIRY","LOAN"})</f>
        <v>DEPOSIT</v>
      </c>
      <c r="F128" s="6" t="str">
        <f t="shared" ca="1" si="58"/>
        <v>t3</v>
      </c>
      <c r="G128" s="6">
        <f t="shared" ca="1" si="51"/>
        <v>1.044885214949332</v>
      </c>
      <c r="H128" s="6">
        <f t="shared" ca="1" si="59"/>
        <v>352.46176811606347</v>
      </c>
      <c r="I128" s="6">
        <f t="shared" ca="1" si="60"/>
        <v>357.16149786469737</v>
      </c>
      <c r="J128" s="6">
        <f t="shared" ca="1" si="61"/>
        <v>349.94420342051933</v>
      </c>
      <c r="K128" s="9">
        <f t="shared" ca="1" si="62"/>
        <v>348.89931820557001</v>
      </c>
      <c r="L128" s="6">
        <f t="shared" ca="1" si="52"/>
        <v>349.94420342051933</v>
      </c>
      <c r="M128" s="6">
        <f t="shared" ca="1" si="63"/>
        <v>0.27601993495062516</v>
      </c>
      <c r="N128" s="6">
        <f t="shared" ca="1" si="46"/>
        <v>1</v>
      </c>
      <c r="O128" s="6">
        <f ca="1">COUNTIFS($C$2:C127,"&lt;="&amp;C128,$L$2:L127,"&gt;"&amp;C128)</f>
        <v>3</v>
      </c>
      <c r="P128" s="9">
        <f t="shared" ca="1" si="53"/>
        <v>0</v>
      </c>
      <c r="Q128" s="9">
        <f t="shared" ca="1" si="54"/>
        <v>0</v>
      </c>
      <c r="R128" s="9">
        <f t="shared" ca="1" si="55"/>
        <v>0</v>
      </c>
      <c r="S128">
        <f t="shared" ca="1" si="47"/>
        <v>0</v>
      </c>
      <c r="T128">
        <f t="shared" ca="1" si="48"/>
        <v>0</v>
      </c>
      <c r="U128">
        <f t="shared" ca="1" si="49"/>
        <v>1.044885214949332</v>
      </c>
    </row>
    <row r="129" spans="1:21" ht="15" x14ac:dyDescent="0.3">
      <c r="A129" s="6">
        <v>128</v>
      </c>
      <c r="B129" s="6">
        <f t="shared" ca="1" si="56"/>
        <v>2.2609162060669834</v>
      </c>
      <c r="C129" s="9">
        <f t="shared" ca="1" si="57"/>
        <v>350.8842144766864</v>
      </c>
      <c r="D129" s="6">
        <f t="shared" ca="1" si="50"/>
        <v>0.96517219762291251</v>
      </c>
      <c r="E129" s="6" t="str">
        <f ca="1">LOOKUP(RAND(),{0,0.4,0.7,0.9},{"DEPOSIT","WITHDRAWAL","INQUIRY","LOAN"})</f>
        <v>DEPOSIT</v>
      </c>
      <c r="F129" s="6" t="str">
        <f t="shared" ca="1" si="58"/>
        <v>t3</v>
      </c>
      <c r="G129" s="6">
        <f t="shared" ca="1" si="51"/>
        <v>1</v>
      </c>
      <c r="H129" s="6">
        <f t="shared" ca="1" si="59"/>
        <v>352.46176811606347</v>
      </c>
      <c r="I129" s="6">
        <f t="shared" ca="1" si="60"/>
        <v>357.16149786469737</v>
      </c>
      <c r="J129" s="6">
        <f t="shared" ca="1" si="61"/>
        <v>351.8842144766864</v>
      </c>
      <c r="K129" s="9">
        <f t="shared" ca="1" si="62"/>
        <v>350.8842144766864</v>
      </c>
      <c r="L129" s="6">
        <f t="shared" ca="1" si="52"/>
        <v>351.8842144766864</v>
      </c>
      <c r="M129" s="6">
        <f t="shared" ca="1" si="63"/>
        <v>0</v>
      </c>
      <c r="N129" s="6">
        <f t="shared" ca="1" si="46"/>
        <v>0</v>
      </c>
      <c r="O129" s="6">
        <f ca="1">COUNTIFS($C$2:C128,"&lt;="&amp;C129,$L$2:L128,"&gt;"&amp;C129)</f>
        <v>2</v>
      </c>
      <c r="P129" s="9">
        <f t="shared" ca="1" si="53"/>
        <v>0</v>
      </c>
      <c r="Q129" s="9">
        <f t="shared" ca="1" si="54"/>
        <v>0</v>
      </c>
      <c r="R129" s="9">
        <f t="shared" ca="1" si="55"/>
        <v>0</v>
      </c>
      <c r="S129">
        <f t="shared" ca="1" si="47"/>
        <v>0</v>
      </c>
      <c r="T129">
        <f t="shared" ca="1" si="48"/>
        <v>0</v>
      </c>
      <c r="U129">
        <f t="shared" ca="1" si="49"/>
        <v>1</v>
      </c>
    </row>
    <row r="130" spans="1:21" ht="15" x14ac:dyDescent="0.3">
      <c r="A130" s="6">
        <v>129</v>
      </c>
      <c r="B130" s="6">
        <f t="shared" ca="1" si="56"/>
        <v>1.0507843033500082</v>
      </c>
      <c r="C130" s="9">
        <f t="shared" ca="1" si="57"/>
        <v>351.93499878003638</v>
      </c>
      <c r="D130" s="6">
        <f t="shared" ref="D130:D161" ca="1" si="64">RAND()</f>
        <v>0.97648047823523709</v>
      </c>
      <c r="E130" s="6" t="str">
        <f ca="1">LOOKUP(RAND(),{0,0.4,0.7,0.9},{"DEPOSIT","WITHDRAWAL","INQUIRY","LOAN"})</f>
        <v>INQUIRY</v>
      </c>
      <c r="F130" s="6" t="str">
        <f t="shared" ca="1" si="58"/>
        <v>t3</v>
      </c>
      <c r="G130" s="6">
        <f t="shared" ref="G130:G161" ca="1" si="65">IF(E130="DEPOSIT",MAX(1,-5*LN(D130)),IF(E130="WITHDRAWAL",MAX(1,-6*LN(D130)),IF(E130="INQUIRY",MAX(1,-4*LN(D130)),MAX(1,-12*LN(D130)))))</f>
        <v>1</v>
      </c>
      <c r="H130" s="6">
        <f t="shared" ca="1" si="59"/>
        <v>352.46176811606347</v>
      </c>
      <c r="I130" s="6">
        <f t="shared" ca="1" si="60"/>
        <v>357.16149786469737</v>
      </c>
      <c r="J130" s="6">
        <f t="shared" ca="1" si="61"/>
        <v>352.93499878003638</v>
      </c>
      <c r="K130" s="9">
        <f t="shared" ca="1" si="62"/>
        <v>351.93499878003638</v>
      </c>
      <c r="L130" s="6">
        <f t="shared" ref="L130:L161" ca="1" si="66">K130+G130</f>
        <v>352.93499878003638</v>
      </c>
      <c r="M130" s="6">
        <f t="shared" ca="1" si="63"/>
        <v>0</v>
      </c>
      <c r="N130" s="6">
        <f t="shared" ca="1" si="46"/>
        <v>0</v>
      </c>
      <c r="O130" s="6">
        <f ca="1">COUNTIFS($C$2:C129,"&lt;="&amp;C130,$L$2:L129,"&gt;"&amp;C130)</f>
        <v>2</v>
      </c>
      <c r="P130" s="9">
        <f t="shared" ref="P130:P161" ca="1" si="67">MAX(0,C130-H130)</f>
        <v>0</v>
      </c>
      <c r="Q130" s="9">
        <f t="shared" ref="Q130:Q161" ca="1" si="68">MAX(0,C130-I130)</f>
        <v>0</v>
      </c>
      <c r="R130" s="9">
        <f t="shared" ref="R130:R161" ca="1" si="69">MAX(0,C130-J130)</f>
        <v>0</v>
      </c>
      <c r="S130">
        <f t="shared" ca="1" si="47"/>
        <v>0</v>
      </c>
      <c r="T130">
        <f t="shared" ca="1" si="48"/>
        <v>0</v>
      </c>
      <c r="U130">
        <f t="shared" ca="1" si="49"/>
        <v>1</v>
      </c>
    </row>
    <row r="131" spans="1:21" ht="15" x14ac:dyDescent="0.3">
      <c r="A131" s="6">
        <v>130</v>
      </c>
      <c r="B131" s="6">
        <f t="shared" ref="B131:B161" ca="1" si="70">-LN(1-RAND())/(25/60)</f>
        <v>2.7875130991904835</v>
      </c>
      <c r="C131" s="9">
        <f t="shared" ref="C131:C161" ca="1" si="71">C130+B131</f>
        <v>354.72251187922689</v>
      </c>
      <c r="D131" s="6">
        <f t="shared" ca="1" si="64"/>
        <v>6.529017123123404E-2</v>
      </c>
      <c r="E131" s="6" t="str">
        <f ca="1">LOOKUP(RAND(),{0,0.4,0.7,0.9},{"DEPOSIT","WITHDRAWAL","INQUIRY","LOAN"})</f>
        <v>INQUIRY</v>
      </c>
      <c r="F131" s="6" t="str">
        <f t="shared" ref="F131:F161" ca="1" si="72">IF(C131&gt;MAX(H130,I130,J130),"t1",IF(MIN(H130,I130,J130)=H130,"t1",(IF(MIN(H130,I130,J130)=I130,"t2","t3"))))</f>
        <v>t1</v>
      </c>
      <c r="G131" s="6">
        <f t="shared" ca="1" si="65"/>
        <v>10.915655084645207</v>
      </c>
      <c r="H131" s="6">
        <f t="shared" ref="H131:H161" ca="1" si="73">IF(F131="t1",L131,H130)</f>
        <v>365.6381669638721</v>
      </c>
      <c r="I131" s="6">
        <f t="shared" ref="I131:I161" ca="1" si="74">IF(F131="t2",L131,I130)</f>
        <v>357.16149786469737</v>
      </c>
      <c r="J131" s="6">
        <f t="shared" ref="J131:J161" ca="1" si="75">IF(F131="t3",L131,J130)</f>
        <v>352.93499878003638</v>
      </c>
      <c r="K131" s="9">
        <f t="shared" ref="K131:K161" ca="1" si="76">IF(M131=0,C131,MIN(H130,I130,J130))</f>
        <v>354.72251187922689</v>
      </c>
      <c r="L131" s="6">
        <f t="shared" ca="1" si="66"/>
        <v>365.6381669638721</v>
      </c>
      <c r="M131" s="6">
        <f t="shared" ref="M131:M161" ca="1" si="77">IF(C131&lt;MIN(H130,I130,J130),MIN(H130,I130,J130)-C131,0)</f>
        <v>0</v>
      </c>
      <c r="N131" s="6">
        <f t="shared" ref="N131:N161" ca="1" si="78">IF(M131=0,0,1)</f>
        <v>0</v>
      </c>
      <c r="O131" s="6">
        <f ca="1">COUNTIFS($C$2:C130,"&lt;="&amp;C131,$L$2:L130,"&gt;"&amp;C131)</f>
        <v>1</v>
      </c>
      <c r="P131" s="9">
        <f t="shared" ca="1" si="67"/>
        <v>0</v>
      </c>
      <c r="Q131" s="9">
        <f t="shared" ca="1" si="68"/>
        <v>0</v>
      </c>
      <c r="R131" s="9">
        <f t="shared" ca="1" si="69"/>
        <v>1.7875130991905053</v>
      </c>
      <c r="S131">
        <f t="shared" ref="S131:S161" ca="1" si="79">IF(F131="t1",G131,0)</f>
        <v>10.915655084645207</v>
      </c>
      <c r="T131">
        <f t="shared" ref="T131:T161" ca="1" si="80">IF(F131="t2",G131,0)</f>
        <v>0</v>
      </c>
      <c r="U131">
        <f t="shared" ref="U131:U161" ca="1" si="81">IF(F131="t3",G131,0)</f>
        <v>0</v>
      </c>
    </row>
    <row r="132" spans="1:21" ht="15" x14ac:dyDescent="0.3">
      <c r="A132" s="6">
        <v>131</v>
      </c>
      <c r="B132" s="6">
        <f t="shared" ca="1" si="70"/>
        <v>7.0971390101768499</v>
      </c>
      <c r="C132" s="9">
        <f t="shared" ca="1" si="71"/>
        <v>361.81965088940376</v>
      </c>
      <c r="D132" s="6">
        <f t="shared" ca="1" si="64"/>
        <v>8.5012565071311941E-2</v>
      </c>
      <c r="E132" s="6" t="str">
        <f ca="1">LOOKUP(RAND(),{0,0.4,0.7,0.9},{"DEPOSIT","WITHDRAWAL","INQUIRY","LOAN"})</f>
        <v>DEPOSIT</v>
      </c>
      <c r="F132" s="6" t="str">
        <f t="shared" ca="1" si="72"/>
        <v>t3</v>
      </c>
      <c r="G132" s="6">
        <f t="shared" ca="1" si="65"/>
        <v>12.32478104524195</v>
      </c>
      <c r="H132" s="6">
        <f t="shared" ca="1" si="73"/>
        <v>365.6381669638721</v>
      </c>
      <c r="I132" s="6">
        <f t="shared" ca="1" si="74"/>
        <v>357.16149786469737</v>
      </c>
      <c r="J132" s="6">
        <f t="shared" ca="1" si="75"/>
        <v>374.1444319346457</v>
      </c>
      <c r="K132" s="9">
        <f t="shared" ca="1" si="76"/>
        <v>361.81965088940376</v>
      </c>
      <c r="L132" s="6">
        <f t="shared" ca="1" si="66"/>
        <v>374.1444319346457</v>
      </c>
      <c r="M132" s="6">
        <f t="shared" ca="1" si="77"/>
        <v>0</v>
      </c>
      <c r="N132" s="6">
        <f t="shared" ca="1" si="78"/>
        <v>0</v>
      </c>
      <c r="O132" s="6">
        <f ca="1">COUNTIFS($C$2:C131,"&lt;="&amp;C132,$L$2:L131,"&gt;"&amp;C132)</f>
        <v>1</v>
      </c>
      <c r="P132" s="9">
        <f t="shared" ca="1" si="67"/>
        <v>0</v>
      </c>
      <c r="Q132" s="9">
        <f t="shared" ca="1" si="68"/>
        <v>4.6581530247063938</v>
      </c>
      <c r="R132" s="9">
        <f t="shared" ca="1" si="69"/>
        <v>0</v>
      </c>
      <c r="S132">
        <f t="shared" ca="1" si="79"/>
        <v>0</v>
      </c>
      <c r="T132">
        <f t="shared" ca="1" si="80"/>
        <v>0</v>
      </c>
      <c r="U132">
        <f t="shared" ca="1" si="81"/>
        <v>12.32478104524195</v>
      </c>
    </row>
    <row r="133" spans="1:21" ht="15" x14ac:dyDescent="0.3">
      <c r="A133" s="6">
        <v>132</v>
      </c>
      <c r="B133" s="6">
        <f t="shared" ca="1" si="70"/>
        <v>1.5597667888853382</v>
      </c>
      <c r="C133" s="9">
        <f t="shared" ca="1" si="71"/>
        <v>363.37941767828909</v>
      </c>
      <c r="D133" s="6">
        <f t="shared" ca="1" si="64"/>
        <v>0.5703458097978763</v>
      </c>
      <c r="E133" s="6" t="str">
        <f ca="1">LOOKUP(RAND(),{0,0.4,0.7,0.9},{"DEPOSIT","WITHDRAWAL","INQUIRY","LOAN"})</f>
        <v>DEPOSIT</v>
      </c>
      <c r="F133" s="6" t="str">
        <f t="shared" ca="1" si="72"/>
        <v>t2</v>
      </c>
      <c r="G133" s="6">
        <f t="shared" ca="1" si="65"/>
        <v>2.8075620912793458</v>
      </c>
      <c r="H133" s="6">
        <f t="shared" ca="1" si="73"/>
        <v>365.6381669638721</v>
      </c>
      <c r="I133" s="6">
        <f t="shared" ca="1" si="74"/>
        <v>366.18697976956844</v>
      </c>
      <c r="J133" s="6">
        <f t="shared" ca="1" si="75"/>
        <v>374.1444319346457</v>
      </c>
      <c r="K133" s="9">
        <f t="shared" ca="1" si="76"/>
        <v>363.37941767828909</v>
      </c>
      <c r="L133" s="6">
        <f t="shared" ca="1" si="66"/>
        <v>366.18697976956844</v>
      </c>
      <c r="M133" s="6">
        <f t="shared" ca="1" si="77"/>
        <v>0</v>
      </c>
      <c r="N133" s="6">
        <f t="shared" ca="1" si="78"/>
        <v>0</v>
      </c>
      <c r="O133" s="6">
        <f ca="1">COUNTIFS($C$2:C132,"&lt;="&amp;C133,$L$2:L132,"&gt;"&amp;C133)</f>
        <v>2</v>
      </c>
      <c r="P133" s="9">
        <f t="shared" ca="1" si="67"/>
        <v>0</v>
      </c>
      <c r="Q133" s="9">
        <f t="shared" ca="1" si="68"/>
        <v>0</v>
      </c>
      <c r="R133" s="9">
        <f t="shared" ca="1" si="69"/>
        <v>0</v>
      </c>
      <c r="S133">
        <f t="shared" ca="1" si="79"/>
        <v>0</v>
      </c>
      <c r="T133">
        <f t="shared" ca="1" si="80"/>
        <v>2.8075620912793458</v>
      </c>
      <c r="U133">
        <f t="shared" ca="1" si="81"/>
        <v>0</v>
      </c>
    </row>
    <row r="134" spans="1:21" ht="15" x14ac:dyDescent="0.3">
      <c r="A134" s="6">
        <v>133</v>
      </c>
      <c r="B134" s="6">
        <f t="shared" ca="1" si="70"/>
        <v>7.9925670225581715</v>
      </c>
      <c r="C134" s="9">
        <f t="shared" ca="1" si="71"/>
        <v>371.37198470084724</v>
      </c>
      <c r="D134" s="6">
        <f t="shared" ca="1" si="64"/>
        <v>0.86976824021998067</v>
      </c>
      <c r="E134" s="6" t="str">
        <f ca="1">LOOKUP(RAND(),{0,0.4,0.7,0.9},{"DEPOSIT","WITHDRAWAL","INQUIRY","LOAN"})</f>
        <v>DEPOSIT</v>
      </c>
      <c r="F134" s="6" t="str">
        <f t="shared" ca="1" si="72"/>
        <v>t1</v>
      </c>
      <c r="G134" s="6">
        <f t="shared" ca="1" si="65"/>
        <v>1</v>
      </c>
      <c r="H134" s="6">
        <f t="shared" ca="1" si="73"/>
        <v>372.37198470084724</v>
      </c>
      <c r="I134" s="6">
        <f t="shared" ca="1" si="74"/>
        <v>366.18697976956844</v>
      </c>
      <c r="J134" s="6">
        <f t="shared" ca="1" si="75"/>
        <v>374.1444319346457</v>
      </c>
      <c r="K134" s="9">
        <f t="shared" ca="1" si="76"/>
        <v>371.37198470084724</v>
      </c>
      <c r="L134" s="6">
        <f t="shared" ca="1" si="66"/>
        <v>372.37198470084724</v>
      </c>
      <c r="M134" s="6">
        <f t="shared" ca="1" si="77"/>
        <v>0</v>
      </c>
      <c r="N134" s="6">
        <f t="shared" ca="1" si="78"/>
        <v>0</v>
      </c>
      <c r="O134" s="6">
        <f ca="1">COUNTIFS($C$2:C133,"&lt;="&amp;C134,$L$2:L133,"&gt;"&amp;C134)</f>
        <v>1</v>
      </c>
      <c r="P134" s="9">
        <f t="shared" ca="1" si="67"/>
        <v>0</v>
      </c>
      <c r="Q134" s="9">
        <f t="shared" ca="1" si="68"/>
        <v>5.1850049312787974</v>
      </c>
      <c r="R134" s="9">
        <f t="shared" ca="1" si="69"/>
        <v>0</v>
      </c>
      <c r="S134">
        <f t="shared" ca="1" si="79"/>
        <v>1</v>
      </c>
      <c r="T134">
        <f t="shared" ca="1" si="80"/>
        <v>0</v>
      </c>
      <c r="U134">
        <f t="shared" ca="1" si="81"/>
        <v>0</v>
      </c>
    </row>
    <row r="135" spans="1:21" ht="15" x14ac:dyDescent="0.3">
      <c r="A135" s="6">
        <v>134</v>
      </c>
      <c r="B135" s="6">
        <f t="shared" ca="1" si="70"/>
        <v>2.327372776813605</v>
      </c>
      <c r="C135" s="9">
        <f t="shared" ca="1" si="71"/>
        <v>373.69935747766084</v>
      </c>
      <c r="D135" s="6">
        <f t="shared" ca="1" si="64"/>
        <v>0.7143212348993323</v>
      </c>
      <c r="E135" s="6" t="str">
        <f ca="1">LOOKUP(RAND(),{0,0.4,0.7,0.9},{"DEPOSIT","WITHDRAWAL","INQUIRY","LOAN"})</f>
        <v>WITHDRAWAL</v>
      </c>
      <c r="F135" s="6" t="str">
        <f t="shared" ca="1" si="72"/>
        <v>t2</v>
      </c>
      <c r="G135" s="6">
        <f t="shared" ca="1" si="65"/>
        <v>2.0185350539915188</v>
      </c>
      <c r="H135" s="6">
        <f t="shared" ca="1" si="73"/>
        <v>372.37198470084724</v>
      </c>
      <c r="I135" s="6">
        <f t="shared" ca="1" si="74"/>
        <v>375.71789253165235</v>
      </c>
      <c r="J135" s="6">
        <f t="shared" ca="1" si="75"/>
        <v>374.1444319346457</v>
      </c>
      <c r="K135" s="9">
        <f t="shared" ca="1" si="76"/>
        <v>373.69935747766084</v>
      </c>
      <c r="L135" s="6">
        <f t="shared" ca="1" si="66"/>
        <v>375.71789253165235</v>
      </c>
      <c r="M135" s="6">
        <f t="shared" ca="1" si="77"/>
        <v>0</v>
      </c>
      <c r="N135" s="6">
        <f t="shared" ca="1" si="78"/>
        <v>0</v>
      </c>
      <c r="O135" s="6">
        <f ca="1">COUNTIFS($C$2:C134,"&lt;="&amp;C135,$L$2:L134,"&gt;"&amp;C135)</f>
        <v>1</v>
      </c>
      <c r="P135" s="9">
        <f t="shared" ca="1" si="67"/>
        <v>1.3273727768136041</v>
      </c>
      <c r="Q135" s="9">
        <f t="shared" ca="1" si="68"/>
        <v>0</v>
      </c>
      <c r="R135" s="9">
        <f t="shared" ca="1" si="69"/>
        <v>0</v>
      </c>
      <c r="S135">
        <f t="shared" ca="1" si="79"/>
        <v>0</v>
      </c>
      <c r="T135">
        <f t="shared" ca="1" si="80"/>
        <v>2.0185350539915188</v>
      </c>
      <c r="U135">
        <f t="shared" ca="1" si="81"/>
        <v>0</v>
      </c>
    </row>
    <row r="136" spans="1:21" ht="15" x14ac:dyDescent="0.3">
      <c r="A136" s="6">
        <v>135</v>
      </c>
      <c r="B136" s="6">
        <f t="shared" ca="1" si="70"/>
        <v>0.52969572004394361</v>
      </c>
      <c r="C136" s="9">
        <f t="shared" ca="1" si="71"/>
        <v>374.22905319770479</v>
      </c>
      <c r="D136" s="6">
        <f t="shared" ca="1" si="64"/>
        <v>0.97234351886974202</v>
      </c>
      <c r="E136" s="6" t="str">
        <f ca="1">LOOKUP(RAND(),{0,0.4,0.7,0.9},{"DEPOSIT","WITHDRAWAL","INQUIRY","LOAN"})</f>
        <v>INQUIRY</v>
      </c>
      <c r="F136" s="6" t="str">
        <f t="shared" ca="1" si="72"/>
        <v>t1</v>
      </c>
      <c r="G136" s="6">
        <f t="shared" ca="1" si="65"/>
        <v>1</v>
      </c>
      <c r="H136" s="6">
        <f t="shared" ca="1" si="73"/>
        <v>375.22905319770479</v>
      </c>
      <c r="I136" s="6">
        <f t="shared" ca="1" si="74"/>
        <v>375.71789253165235</v>
      </c>
      <c r="J136" s="6">
        <f t="shared" ca="1" si="75"/>
        <v>374.1444319346457</v>
      </c>
      <c r="K136" s="9">
        <f t="shared" ca="1" si="76"/>
        <v>374.22905319770479</v>
      </c>
      <c r="L136" s="6">
        <f t="shared" ca="1" si="66"/>
        <v>375.22905319770479</v>
      </c>
      <c r="M136" s="6">
        <f t="shared" ca="1" si="77"/>
        <v>0</v>
      </c>
      <c r="N136" s="6">
        <f t="shared" ca="1" si="78"/>
        <v>0</v>
      </c>
      <c r="O136" s="6">
        <f ca="1">COUNTIFS($C$2:C135,"&lt;="&amp;C136,$L$2:L135,"&gt;"&amp;C136)</f>
        <v>1</v>
      </c>
      <c r="P136" s="9">
        <f t="shared" ca="1" si="67"/>
        <v>0</v>
      </c>
      <c r="Q136" s="9">
        <f t="shared" ca="1" si="68"/>
        <v>0</v>
      </c>
      <c r="R136" s="9">
        <f t="shared" ca="1" si="69"/>
        <v>8.4621263059091234E-2</v>
      </c>
      <c r="S136">
        <f t="shared" ca="1" si="79"/>
        <v>1</v>
      </c>
      <c r="T136">
        <f t="shared" ca="1" si="80"/>
        <v>0</v>
      </c>
      <c r="U136">
        <f t="shared" ca="1" si="81"/>
        <v>0</v>
      </c>
    </row>
    <row r="137" spans="1:21" ht="15" x14ac:dyDescent="0.3">
      <c r="A137" s="6">
        <v>136</v>
      </c>
      <c r="B137" s="6">
        <f t="shared" ca="1" si="70"/>
        <v>0.46139110958978452</v>
      </c>
      <c r="C137" s="9">
        <f t="shared" ca="1" si="71"/>
        <v>374.69044430729457</v>
      </c>
      <c r="D137" s="6">
        <f t="shared" ca="1" si="64"/>
        <v>9.5060655658095405E-2</v>
      </c>
      <c r="E137" s="6" t="str">
        <f ca="1">LOOKUP(RAND(),{0,0.4,0.7,0.9},{"DEPOSIT","WITHDRAWAL","INQUIRY","LOAN"})</f>
        <v>INQUIRY</v>
      </c>
      <c r="F137" s="6" t="str">
        <f t="shared" ca="1" si="72"/>
        <v>t3</v>
      </c>
      <c r="G137" s="6">
        <f t="shared" ca="1" si="65"/>
        <v>9.4129604420483695</v>
      </c>
      <c r="H137" s="6">
        <f t="shared" ca="1" si="73"/>
        <v>375.22905319770479</v>
      </c>
      <c r="I137" s="6">
        <f t="shared" ca="1" si="74"/>
        <v>375.71789253165235</v>
      </c>
      <c r="J137" s="6">
        <f t="shared" ca="1" si="75"/>
        <v>384.10340474934293</v>
      </c>
      <c r="K137" s="9">
        <f t="shared" ca="1" si="76"/>
        <v>374.69044430729457</v>
      </c>
      <c r="L137" s="6">
        <f t="shared" ca="1" si="66"/>
        <v>384.10340474934293</v>
      </c>
      <c r="M137" s="6">
        <f t="shared" ca="1" si="77"/>
        <v>0</v>
      </c>
      <c r="N137" s="6">
        <f t="shared" ca="1" si="78"/>
        <v>0</v>
      </c>
      <c r="O137" s="6">
        <f ca="1">COUNTIFS($C$2:C136,"&lt;="&amp;C137,$L$2:L136,"&gt;"&amp;C137)</f>
        <v>2</v>
      </c>
      <c r="P137" s="9">
        <f t="shared" ca="1" si="67"/>
        <v>0</v>
      </c>
      <c r="Q137" s="9">
        <f t="shared" ca="1" si="68"/>
        <v>0</v>
      </c>
      <c r="R137" s="9">
        <f t="shared" ca="1" si="69"/>
        <v>0</v>
      </c>
      <c r="S137">
        <f t="shared" ca="1" si="79"/>
        <v>0</v>
      </c>
      <c r="T137">
        <f t="shared" ca="1" si="80"/>
        <v>0</v>
      </c>
      <c r="U137">
        <f t="shared" ca="1" si="81"/>
        <v>9.4129604420483695</v>
      </c>
    </row>
    <row r="138" spans="1:21" ht="15" x14ac:dyDescent="0.3">
      <c r="A138" s="6">
        <v>137</v>
      </c>
      <c r="B138" s="6">
        <f t="shared" ca="1" si="70"/>
        <v>0.8864928160385207</v>
      </c>
      <c r="C138" s="9">
        <f t="shared" ca="1" si="71"/>
        <v>375.5769371233331</v>
      </c>
      <c r="D138" s="6">
        <f t="shared" ca="1" si="64"/>
        <v>0.54425833834858306</v>
      </c>
      <c r="E138" s="6" t="str">
        <f ca="1">LOOKUP(RAND(),{0,0.4,0.7,0.9},{"DEPOSIT","WITHDRAWAL","INQUIRY","LOAN"})</f>
        <v>DEPOSIT</v>
      </c>
      <c r="F138" s="6" t="str">
        <f t="shared" ca="1" si="72"/>
        <v>t1</v>
      </c>
      <c r="G138" s="6">
        <f t="shared" ca="1" si="65"/>
        <v>3.04165629089497</v>
      </c>
      <c r="H138" s="6">
        <f t="shared" ca="1" si="73"/>
        <v>378.61859341422809</v>
      </c>
      <c r="I138" s="6">
        <f t="shared" ca="1" si="74"/>
        <v>375.71789253165235</v>
      </c>
      <c r="J138" s="6">
        <f t="shared" ca="1" si="75"/>
        <v>384.10340474934293</v>
      </c>
      <c r="K138" s="9">
        <f t="shared" ca="1" si="76"/>
        <v>375.5769371233331</v>
      </c>
      <c r="L138" s="6">
        <f t="shared" ca="1" si="66"/>
        <v>378.61859341422809</v>
      </c>
      <c r="M138" s="6">
        <f t="shared" ca="1" si="77"/>
        <v>0</v>
      </c>
      <c r="N138" s="6">
        <f t="shared" ca="1" si="78"/>
        <v>0</v>
      </c>
      <c r="O138" s="6">
        <f ca="1">COUNTIFS($C$2:C137,"&lt;="&amp;C138,$L$2:L137,"&gt;"&amp;C138)</f>
        <v>2</v>
      </c>
      <c r="P138" s="9">
        <f t="shared" ca="1" si="67"/>
        <v>0</v>
      </c>
      <c r="Q138" s="9">
        <f t="shared" ca="1" si="68"/>
        <v>0</v>
      </c>
      <c r="R138" s="9">
        <f t="shared" ca="1" si="69"/>
        <v>0</v>
      </c>
      <c r="S138">
        <f t="shared" ca="1" si="79"/>
        <v>3.04165629089497</v>
      </c>
      <c r="T138">
        <f t="shared" ca="1" si="80"/>
        <v>0</v>
      </c>
      <c r="U138">
        <f t="shared" ca="1" si="81"/>
        <v>0</v>
      </c>
    </row>
    <row r="139" spans="1:21" ht="15" x14ac:dyDescent="0.3">
      <c r="A139" s="6">
        <v>138</v>
      </c>
      <c r="B139" s="6">
        <f t="shared" ca="1" si="70"/>
        <v>3.8014921467863703</v>
      </c>
      <c r="C139" s="9">
        <f t="shared" ca="1" si="71"/>
        <v>379.37842927011945</v>
      </c>
      <c r="D139" s="6">
        <f t="shared" ca="1" si="64"/>
        <v>0.8504941355796023</v>
      </c>
      <c r="E139" s="6" t="str">
        <f ca="1">LOOKUP(RAND(),{0,0.4,0.7,0.9},{"DEPOSIT","WITHDRAWAL","INQUIRY","LOAN"})</f>
        <v>LOAN</v>
      </c>
      <c r="F139" s="6" t="str">
        <f t="shared" ca="1" si="72"/>
        <v>t2</v>
      </c>
      <c r="G139" s="6">
        <f t="shared" ca="1" si="65"/>
        <v>1.9432531491848573</v>
      </c>
      <c r="H139" s="6">
        <f t="shared" ca="1" si="73"/>
        <v>378.61859341422809</v>
      </c>
      <c r="I139" s="6">
        <f t="shared" ca="1" si="74"/>
        <v>381.3216824193043</v>
      </c>
      <c r="J139" s="6">
        <f t="shared" ca="1" si="75"/>
        <v>384.10340474934293</v>
      </c>
      <c r="K139" s="9">
        <f t="shared" ca="1" si="76"/>
        <v>379.37842927011945</v>
      </c>
      <c r="L139" s="6">
        <f t="shared" ca="1" si="66"/>
        <v>381.3216824193043</v>
      </c>
      <c r="M139" s="6">
        <f t="shared" ca="1" si="77"/>
        <v>0</v>
      </c>
      <c r="N139" s="6">
        <f t="shared" ca="1" si="78"/>
        <v>0</v>
      </c>
      <c r="O139" s="6">
        <f ca="1">COUNTIFS($C$2:C138,"&lt;="&amp;C139,$L$2:L138,"&gt;"&amp;C139)</f>
        <v>1</v>
      </c>
      <c r="P139" s="9">
        <f t="shared" ca="1" si="67"/>
        <v>0.75983585589136737</v>
      </c>
      <c r="Q139" s="9">
        <f t="shared" ca="1" si="68"/>
        <v>0</v>
      </c>
      <c r="R139" s="9">
        <f t="shared" ca="1" si="69"/>
        <v>0</v>
      </c>
      <c r="S139">
        <f t="shared" ca="1" si="79"/>
        <v>0</v>
      </c>
      <c r="T139">
        <f t="shared" ca="1" si="80"/>
        <v>1.9432531491848573</v>
      </c>
      <c r="U139">
        <f t="shared" ca="1" si="81"/>
        <v>0</v>
      </c>
    </row>
    <row r="140" spans="1:21" ht="15" x14ac:dyDescent="0.3">
      <c r="A140" s="6">
        <v>139</v>
      </c>
      <c r="B140" s="6">
        <f t="shared" ca="1" si="70"/>
        <v>3.6850937992434436</v>
      </c>
      <c r="C140" s="9">
        <f t="shared" ca="1" si="71"/>
        <v>383.06352306936287</v>
      </c>
      <c r="D140" s="6">
        <f t="shared" ca="1" si="64"/>
        <v>0.68556112017903459</v>
      </c>
      <c r="E140" s="6" t="str">
        <f ca="1">LOOKUP(RAND(),{0,0.4,0.7,0.9},{"DEPOSIT","WITHDRAWAL","INQUIRY","LOAN"})</f>
        <v>DEPOSIT</v>
      </c>
      <c r="F140" s="6" t="str">
        <f t="shared" ca="1" si="72"/>
        <v>t1</v>
      </c>
      <c r="G140" s="6">
        <f t="shared" ca="1" si="65"/>
        <v>1.8875881124851679</v>
      </c>
      <c r="H140" s="6">
        <f t="shared" ca="1" si="73"/>
        <v>384.95111118184803</v>
      </c>
      <c r="I140" s="6">
        <f t="shared" ca="1" si="74"/>
        <v>381.3216824193043</v>
      </c>
      <c r="J140" s="6">
        <f t="shared" ca="1" si="75"/>
        <v>384.10340474934293</v>
      </c>
      <c r="K140" s="9">
        <f t="shared" ca="1" si="76"/>
        <v>383.06352306936287</v>
      </c>
      <c r="L140" s="6">
        <f t="shared" ca="1" si="66"/>
        <v>384.95111118184803</v>
      </c>
      <c r="M140" s="6">
        <f t="shared" ca="1" si="77"/>
        <v>0</v>
      </c>
      <c r="N140" s="6">
        <f t="shared" ca="1" si="78"/>
        <v>0</v>
      </c>
      <c r="O140" s="6">
        <f ca="1">COUNTIFS($C$2:C139,"&lt;="&amp;C140,$L$2:L139,"&gt;"&amp;C140)</f>
        <v>1</v>
      </c>
      <c r="P140" s="9">
        <f t="shared" ca="1" si="67"/>
        <v>0</v>
      </c>
      <c r="Q140" s="9">
        <f t="shared" ca="1" si="68"/>
        <v>1.7418406500585775</v>
      </c>
      <c r="R140" s="9">
        <f t="shared" ca="1" si="69"/>
        <v>0</v>
      </c>
      <c r="S140">
        <f t="shared" ca="1" si="79"/>
        <v>1.8875881124851679</v>
      </c>
      <c r="T140">
        <f t="shared" ca="1" si="80"/>
        <v>0</v>
      </c>
      <c r="U140">
        <f t="shared" ca="1" si="81"/>
        <v>0</v>
      </c>
    </row>
    <row r="141" spans="1:21" ht="15" x14ac:dyDescent="0.3">
      <c r="A141" s="6">
        <v>140</v>
      </c>
      <c r="B141" s="6">
        <f t="shared" ca="1" si="70"/>
        <v>0.90034105260995601</v>
      </c>
      <c r="C141" s="9">
        <f t="shared" ca="1" si="71"/>
        <v>383.96386412197285</v>
      </c>
      <c r="D141" s="6">
        <f t="shared" ca="1" si="64"/>
        <v>0.80358513075771221</v>
      </c>
      <c r="E141" s="6" t="str">
        <f ca="1">LOOKUP(RAND(),{0,0.4,0.7,0.9},{"DEPOSIT","WITHDRAWAL","INQUIRY","LOAN"})</f>
        <v>DEPOSIT</v>
      </c>
      <c r="F141" s="6" t="str">
        <f t="shared" ca="1" si="72"/>
        <v>t2</v>
      </c>
      <c r="G141" s="6">
        <f t="shared" ca="1" si="65"/>
        <v>1.0933607475030453</v>
      </c>
      <c r="H141" s="6">
        <f t="shared" ca="1" si="73"/>
        <v>384.95111118184803</v>
      </c>
      <c r="I141" s="6">
        <f t="shared" ca="1" si="74"/>
        <v>385.05722486947587</v>
      </c>
      <c r="J141" s="6">
        <f t="shared" ca="1" si="75"/>
        <v>384.10340474934293</v>
      </c>
      <c r="K141" s="9">
        <f t="shared" ca="1" si="76"/>
        <v>383.96386412197285</v>
      </c>
      <c r="L141" s="6">
        <f t="shared" ca="1" si="66"/>
        <v>385.05722486947587</v>
      </c>
      <c r="M141" s="6">
        <f t="shared" ca="1" si="77"/>
        <v>0</v>
      </c>
      <c r="N141" s="6">
        <f t="shared" ca="1" si="78"/>
        <v>0</v>
      </c>
      <c r="O141" s="6">
        <f ca="1">COUNTIFS($C$2:C140,"&lt;="&amp;C141,$L$2:L140,"&gt;"&amp;C141)</f>
        <v>2</v>
      </c>
      <c r="P141" s="9">
        <f t="shared" ca="1" si="67"/>
        <v>0</v>
      </c>
      <c r="Q141" s="9">
        <f t="shared" ca="1" si="68"/>
        <v>0</v>
      </c>
      <c r="R141" s="9">
        <f t="shared" ca="1" si="69"/>
        <v>0</v>
      </c>
      <c r="S141">
        <f t="shared" ca="1" si="79"/>
        <v>0</v>
      </c>
      <c r="T141">
        <f t="shared" ca="1" si="80"/>
        <v>1.0933607475030453</v>
      </c>
      <c r="U141">
        <f t="shared" ca="1" si="81"/>
        <v>0</v>
      </c>
    </row>
    <row r="142" spans="1:21" ht="15" x14ac:dyDescent="0.3">
      <c r="A142" s="6">
        <v>141</v>
      </c>
      <c r="B142" s="6">
        <f t="shared" ca="1" si="70"/>
        <v>1.0712632243467766</v>
      </c>
      <c r="C142" s="9">
        <f t="shared" ca="1" si="71"/>
        <v>385.0351273463196</v>
      </c>
      <c r="D142" s="6">
        <f t="shared" ca="1" si="64"/>
        <v>0.90236750297122514</v>
      </c>
      <c r="E142" s="6" t="str">
        <f ca="1">LOOKUP(RAND(),{0,0.4,0.7,0.9},{"DEPOSIT","WITHDRAWAL","INQUIRY","LOAN"})</f>
        <v>DEPOSIT</v>
      </c>
      <c r="F142" s="6" t="str">
        <f t="shared" ca="1" si="72"/>
        <v>t3</v>
      </c>
      <c r="G142" s="6">
        <f t="shared" ca="1" si="65"/>
        <v>1</v>
      </c>
      <c r="H142" s="6">
        <f t="shared" ca="1" si="73"/>
        <v>384.95111118184803</v>
      </c>
      <c r="I142" s="6">
        <f t="shared" ca="1" si="74"/>
        <v>385.05722486947587</v>
      </c>
      <c r="J142" s="6">
        <f t="shared" ca="1" si="75"/>
        <v>386.0351273463196</v>
      </c>
      <c r="K142" s="9">
        <f t="shared" ca="1" si="76"/>
        <v>385.0351273463196</v>
      </c>
      <c r="L142" s="6">
        <f t="shared" ca="1" si="66"/>
        <v>386.0351273463196</v>
      </c>
      <c r="M142" s="6">
        <f t="shared" ca="1" si="77"/>
        <v>0</v>
      </c>
      <c r="N142" s="6">
        <f t="shared" ca="1" si="78"/>
        <v>0</v>
      </c>
      <c r="O142" s="6">
        <f ca="1">COUNTIFS($C$2:C141,"&lt;="&amp;C142,$L$2:L141,"&gt;"&amp;C142)</f>
        <v>1</v>
      </c>
      <c r="P142" s="9">
        <f t="shared" ca="1" si="67"/>
        <v>8.401616447156357E-2</v>
      </c>
      <c r="Q142" s="9">
        <f t="shared" ca="1" si="68"/>
        <v>0</v>
      </c>
      <c r="R142" s="9">
        <f t="shared" ca="1" si="69"/>
        <v>0</v>
      </c>
      <c r="S142">
        <f t="shared" ca="1" si="79"/>
        <v>0</v>
      </c>
      <c r="T142">
        <f t="shared" ca="1" si="80"/>
        <v>0</v>
      </c>
      <c r="U142">
        <f t="shared" ca="1" si="81"/>
        <v>1</v>
      </c>
    </row>
    <row r="143" spans="1:21" ht="15" x14ac:dyDescent="0.3">
      <c r="A143" s="6">
        <v>142</v>
      </c>
      <c r="B143" s="6">
        <f t="shared" ca="1" si="70"/>
        <v>3.9398029078055901</v>
      </c>
      <c r="C143" s="9">
        <f t="shared" ca="1" si="71"/>
        <v>388.97493025412518</v>
      </c>
      <c r="D143" s="6">
        <f t="shared" ca="1" si="64"/>
        <v>5.8782836275639072E-2</v>
      </c>
      <c r="E143" s="6" t="str">
        <f ca="1">LOOKUP(RAND(),{0,0.4,0.7,0.9},{"DEPOSIT","WITHDRAWAL","INQUIRY","LOAN"})</f>
        <v>DEPOSIT</v>
      </c>
      <c r="F143" s="6" t="str">
        <f t="shared" ca="1" si="72"/>
        <v>t1</v>
      </c>
      <c r="G143" s="6">
        <f t="shared" ca="1" si="65"/>
        <v>14.169526833814201</v>
      </c>
      <c r="H143" s="6">
        <f t="shared" ca="1" si="73"/>
        <v>403.14445708793937</v>
      </c>
      <c r="I143" s="6">
        <f t="shared" ca="1" si="74"/>
        <v>385.05722486947587</v>
      </c>
      <c r="J143" s="6">
        <f t="shared" ca="1" si="75"/>
        <v>386.0351273463196</v>
      </c>
      <c r="K143" s="9">
        <f t="shared" ca="1" si="76"/>
        <v>388.97493025412518</v>
      </c>
      <c r="L143" s="6">
        <f t="shared" ca="1" si="66"/>
        <v>403.14445708793937</v>
      </c>
      <c r="M143" s="6">
        <f t="shared" ca="1" si="77"/>
        <v>0</v>
      </c>
      <c r="N143" s="6">
        <f t="shared" ca="1" si="78"/>
        <v>0</v>
      </c>
      <c r="O143" s="6">
        <f ca="1">COUNTIFS($C$2:C142,"&lt;="&amp;C143,$L$2:L142,"&gt;"&amp;C143)</f>
        <v>0</v>
      </c>
      <c r="P143" s="9">
        <f t="shared" ca="1" si="67"/>
        <v>0</v>
      </c>
      <c r="Q143" s="9">
        <f t="shared" ca="1" si="68"/>
        <v>3.9177053846493095</v>
      </c>
      <c r="R143" s="9">
        <f t="shared" ca="1" si="69"/>
        <v>2.9398029078055856</v>
      </c>
      <c r="S143">
        <f t="shared" ca="1" si="79"/>
        <v>14.169526833814201</v>
      </c>
      <c r="T143">
        <f t="shared" ca="1" si="80"/>
        <v>0</v>
      </c>
      <c r="U143">
        <f t="shared" ca="1" si="81"/>
        <v>0</v>
      </c>
    </row>
    <row r="144" spans="1:21" ht="15" x14ac:dyDescent="0.3">
      <c r="A144" s="6">
        <v>143</v>
      </c>
      <c r="B144" s="6">
        <f t="shared" ca="1" si="70"/>
        <v>0.16202583437334711</v>
      </c>
      <c r="C144" s="9">
        <f t="shared" ca="1" si="71"/>
        <v>389.13695608849855</v>
      </c>
      <c r="D144" s="6">
        <f t="shared" ca="1" si="64"/>
        <v>0.21904626675137173</v>
      </c>
      <c r="E144" s="6" t="str">
        <f ca="1">LOOKUP(RAND(),{0,0.4,0.7,0.9},{"DEPOSIT","WITHDRAWAL","INQUIRY","LOAN"})</f>
        <v>WITHDRAWAL</v>
      </c>
      <c r="F144" s="6" t="str">
        <f t="shared" ca="1" si="72"/>
        <v>t2</v>
      </c>
      <c r="G144" s="6">
        <f t="shared" ca="1" si="65"/>
        <v>9.1108338466426595</v>
      </c>
      <c r="H144" s="6">
        <f t="shared" ca="1" si="73"/>
        <v>403.14445708793937</v>
      </c>
      <c r="I144" s="6">
        <f t="shared" ca="1" si="74"/>
        <v>398.24778993514121</v>
      </c>
      <c r="J144" s="6">
        <f t="shared" ca="1" si="75"/>
        <v>386.0351273463196</v>
      </c>
      <c r="K144" s="9">
        <f t="shared" ca="1" si="76"/>
        <v>389.13695608849855</v>
      </c>
      <c r="L144" s="6">
        <f t="shared" ca="1" si="66"/>
        <v>398.24778993514121</v>
      </c>
      <c r="M144" s="6">
        <f t="shared" ca="1" si="77"/>
        <v>0</v>
      </c>
      <c r="N144" s="6">
        <f t="shared" ca="1" si="78"/>
        <v>0</v>
      </c>
      <c r="O144" s="6">
        <f ca="1">COUNTIFS($C$2:C143,"&lt;="&amp;C144,$L$2:L143,"&gt;"&amp;C144)</f>
        <v>1</v>
      </c>
      <c r="P144" s="9">
        <f t="shared" ca="1" si="67"/>
        <v>0</v>
      </c>
      <c r="Q144" s="9">
        <f t="shared" ca="1" si="68"/>
        <v>0</v>
      </c>
      <c r="R144" s="9">
        <f t="shared" ca="1" si="69"/>
        <v>3.1018287421789523</v>
      </c>
      <c r="S144">
        <f t="shared" ca="1" si="79"/>
        <v>0</v>
      </c>
      <c r="T144">
        <f t="shared" ca="1" si="80"/>
        <v>9.1108338466426595</v>
      </c>
      <c r="U144">
        <f t="shared" ca="1" si="81"/>
        <v>0</v>
      </c>
    </row>
    <row r="145" spans="1:21" ht="15" x14ac:dyDescent="0.3">
      <c r="A145" s="6">
        <v>144</v>
      </c>
      <c r="B145" s="6">
        <f t="shared" ca="1" si="70"/>
        <v>2.6191923870213363</v>
      </c>
      <c r="C145" s="9">
        <f t="shared" ca="1" si="71"/>
        <v>391.75614847551986</v>
      </c>
      <c r="D145" s="6">
        <f t="shared" ca="1" si="64"/>
        <v>0.7923055418434779</v>
      </c>
      <c r="E145" s="6" t="str">
        <f ca="1">LOOKUP(RAND(),{0,0.4,0.7,0.9},{"DEPOSIT","WITHDRAWAL","INQUIRY","LOAN"})</f>
        <v>LOAN</v>
      </c>
      <c r="F145" s="6" t="str">
        <f t="shared" ca="1" si="72"/>
        <v>t3</v>
      </c>
      <c r="G145" s="6">
        <f t="shared" ca="1" si="65"/>
        <v>2.7936981168931765</v>
      </c>
      <c r="H145" s="6">
        <f t="shared" ca="1" si="73"/>
        <v>403.14445708793937</v>
      </c>
      <c r="I145" s="6">
        <f t="shared" ca="1" si="74"/>
        <v>398.24778993514121</v>
      </c>
      <c r="J145" s="6">
        <f t="shared" ca="1" si="75"/>
        <v>394.54984659241302</v>
      </c>
      <c r="K145" s="9">
        <f t="shared" ca="1" si="76"/>
        <v>391.75614847551986</v>
      </c>
      <c r="L145" s="6">
        <f t="shared" ca="1" si="66"/>
        <v>394.54984659241302</v>
      </c>
      <c r="M145" s="6">
        <f t="shared" ca="1" si="77"/>
        <v>0</v>
      </c>
      <c r="N145" s="6">
        <f t="shared" ca="1" si="78"/>
        <v>0</v>
      </c>
      <c r="O145" s="6">
        <f ca="1">COUNTIFS($C$2:C144,"&lt;="&amp;C145,$L$2:L144,"&gt;"&amp;C145)</f>
        <v>2</v>
      </c>
      <c r="P145" s="9">
        <f t="shared" ca="1" si="67"/>
        <v>0</v>
      </c>
      <c r="Q145" s="9">
        <f t="shared" ca="1" si="68"/>
        <v>0</v>
      </c>
      <c r="R145" s="9">
        <f t="shared" ca="1" si="69"/>
        <v>0</v>
      </c>
      <c r="S145">
        <f t="shared" ca="1" si="79"/>
        <v>0</v>
      </c>
      <c r="T145">
        <f t="shared" ca="1" si="80"/>
        <v>0</v>
      </c>
      <c r="U145">
        <f t="shared" ca="1" si="81"/>
        <v>2.7936981168931765</v>
      </c>
    </row>
    <row r="146" spans="1:21" ht="15" x14ac:dyDescent="0.3">
      <c r="A146" s="6">
        <v>145</v>
      </c>
      <c r="B146" s="6">
        <f t="shared" ca="1" si="70"/>
        <v>1.2074821657775088</v>
      </c>
      <c r="C146" s="9">
        <f t="shared" ca="1" si="71"/>
        <v>392.96363064129736</v>
      </c>
      <c r="D146" s="6">
        <f t="shared" ca="1" si="64"/>
        <v>0.28266374269243177</v>
      </c>
      <c r="E146" s="6" t="str">
        <f ca="1">LOOKUP(RAND(),{0,0.4,0.7,0.9},{"DEPOSIT","WITHDRAWAL","INQUIRY","LOAN"})</f>
        <v>DEPOSIT</v>
      </c>
      <c r="F146" s="6" t="str">
        <f t="shared" ca="1" si="72"/>
        <v>t3</v>
      </c>
      <c r="G146" s="6">
        <f t="shared" ca="1" si="65"/>
        <v>6.3174863808015917</v>
      </c>
      <c r="H146" s="6">
        <f t="shared" ca="1" si="73"/>
        <v>403.14445708793937</v>
      </c>
      <c r="I146" s="6">
        <f t="shared" ca="1" si="74"/>
        <v>398.24778993514121</v>
      </c>
      <c r="J146" s="6">
        <f t="shared" ca="1" si="75"/>
        <v>400.86733297321462</v>
      </c>
      <c r="K146" s="9">
        <f t="shared" ca="1" si="76"/>
        <v>394.54984659241302</v>
      </c>
      <c r="L146" s="6">
        <f t="shared" ca="1" si="66"/>
        <v>400.86733297321462</v>
      </c>
      <c r="M146" s="6">
        <f t="shared" ca="1" si="77"/>
        <v>1.5862159511156619</v>
      </c>
      <c r="N146" s="6">
        <f t="shared" ca="1" si="78"/>
        <v>1</v>
      </c>
      <c r="O146" s="6">
        <f ca="1">COUNTIFS($C$2:C145,"&lt;="&amp;C146,$L$2:L145,"&gt;"&amp;C146)</f>
        <v>3</v>
      </c>
      <c r="P146" s="9">
        <f t="shared" ca="1" si="67"/>
        <v>0</v>
      </c>
      <c r="Q146" s="9">
        <f t="shared" ca="1" si="68"/>
        <v>0</v>
      </c>
      <c r="R146" s="9">
        <f t="shared" ca="1" si="69"/>
        <v>0</v>
      </c>
      <c r="S146">
        <f t="shared" ca="1" si="79"/>
        <v>0</v>
      </c>
      <c r="T146">
        <f t="shared" ca="1" si="80"/>
        <v>0</v>
      </c>
      <c r="U146">
        <f t="shared" ca="1" si="81"/>
        <v>6.3174863808015917</v>
      </c>
    </row>
    <row r="147" spans="1:21" ht="15" x14ac:dyDescent="0.3">
      <c r="A147" s="6">
        <v>146</v>
      </c>
      <c r="B147" s="6">
        <f t="shared" ca="1" si="70"/>
        <v>2.7386081962197024</v>
      </c>
      <c r="C147" s="9">
        <f t="shared" ca="1" si="71"/>
        <v>395.70223883751709</v>
      </c>
      <c r="D147" s="6">
        <f t="shared" ca="1" si="64"/>
        <v>0.28164055688727785</v>
      </c>
      <c r="E147" s="6" t="str">
        <f ca="1">LOOKUP(RAND(),{0,0.4,0.7,0.9},{"DEPOSIT","WITHDRAWAL","INQUIRY","LOAN"})</f>
        <v>DEPOSIT</v>
      </c>
      <c r="F147" s="6" t="str">
        <f t="shared" ca="1" si="72"/>
        <v>t2</v>
      </c>
      <c r="G147" s="6">
        <f t="shared" ca="1" si="65"/>
        <v>6.3356182101568166</v>
      </c>
      <c r="H147" s="6">
        <f t="shared" ca="1" si="73"/>
        <v>403.14445708793937</v>
      </c>
      <c r="I147" s="6">
        <f t="shared" ca="1" si="74"/>
        <v>404.58340814529805</v>
      </c>
      <c r="J147" s="6">
        <f t="shared" ca="1" si="75"/>
        <v>400.86733297321462</v>
      </c>
      <c r="K147" s="9">
        <f t="shared" ca="1" si="76"/>
        <v>398.24778993514121</v>
      </c>
      <c r="L147" s="6">
        <f t="shared" ca="1" si="66"/>
        <v>404.58340814529805</v>
      </c>
      <c r="M147" s="6">
        <f t="shared" ca="1" si="77"/>
        <v>2.5455510976241271</v>
      </c>
      <c r="N147" s="6">
        <f t="shared" ca="1" si="78"/>
        <v>1</v>
      </c>
      <c r="O147" s="6">
        <f ca="1">COUNTIFS($C$2:C146,"&lt;="&amp;C147,$L$2:L146,"&gt;"&amp;C147)</f>
        <v>3</v>
      </c>
      <c r="P147" s="9">
        <f t="shared" ca="1" si="67"/>
        <v>0</v>
      </c>
      <c r="Q147" s="9">
        <f t="shared" ca="1" si="68"/>
        <v>0</v>
      </c>
      <c r="R147" s="9">
        <f t="shared" ca="1" si="69"/>
        <v>0</v>
      </c>
      <c r="S147">
        <f t="shared" ca="1" si="79"/>
        <v>0</v>
      </c>
      <c r="T147">
        <f t="shared" ca="1" si="80"/>
        <v>6.3356182101568166</v>
      </c>
      <c r="U147">
        <f t="shared" ca="1" si="81"/>
        <v>0</v>
      </c>
    </row>
    <row r="148" spans="1:21" ht="15" x14ac:dyDescent="0.3">
      <c r="A148" s="6">
        <v>147</v>
      </c>
      <c r="B148" s="6">
        <f t="shared" ca="1" si="70"/>
        <v>4.4806438696650179</v>
      </c>
      <c r="C148" s="9">
        <f t="shared" ca="1" si="71"/>
        <v>400.1828827071821</v>
      </c>
      <c r="D148" s="6">
        <f t="shared" ca="1" si="64"/>
        <v>0.65503260955875686</v>
      </c>
      <c r="E148" s="6" t="str">
        <f ca="1">LOOKUP(RAND(),{0,0.4,0.7,0.9},{"DEPOSIT","WITHDRAWAL","INQUIRY","LOAN"})</f>
        <v>INQUIRY</v>
      </c>
      <c r="F148" s="6" t="str">
        <f t="shared" ca="1" si="72"/>
        <v>t3</v>
      </c>
      <c r="G148" s="6">
        <f t="shared" ca="1" si="65"/>
        <v>1.6922810360010319</v>
      </c>
      <c r="H148" s="6">
        <f t="shared" ca="1" si="73"/>
        <v>403.14445708793937</v>
      </c>
      <c r="I148" s="6">
        <f t="shared" ca="1" si="74"/>
        <v>404.58340814529805</v>
      </c>
      <c r="J148" s="6">
        <f t="shared" ca="1" si="75"/>
        <v>402.55961400921564</v>
      </c>
      <c r="K148" s="9">
        <f t="shared" ca="1" si="76"/>
        <v>400.86733297321462</v>
      </c>
      <c r="L148" s="6">
        <f t="shared" ca="1" si="66"/>
        <v>402.55961400921564</v>
      </c>
      <c r="M148" s="6">
        <f t="shared" ca="1" si="77"/>
        <v>0.68445026603251335</v>
      </c>
      <c r="N148" s="6">
        <f t="shared" ca="1" si="78"/>
        <v>1</v>
      </c>
      <c r="O148" s="6">
        <f ca="1">COUNTIFS($C$2:C147,"&lt;="&amp;C148,$L$2:L147,"&gt;"&amp;C148)</f>
        <v>3</v>
      </c>
      <c r="P148" s="9">
        <f t="shared" ca="1" si="67"/>
        <v>0</v>
      </c>
      <c r="Q148" s="9">
        <f t="shared" ca="1" si="68"/>
        <v>0</v>
      </c>
      <c r="R148" s="9">
        <f t="shared" ca="1" si="69"/>
        <v>0</v>
      </c>
      <c r="S148">
        <f t="shared" ca="1" si="79"/>
        <v>0</v>
      </c>
      <c r="T148">
        <f t="shared" ca="1" si="80"/>
        <v>0</v>
      </c>
      <c r="U148">
        <f t="shared" ca="1" si="81"/>
        <v>1.6922810360010319</v>
      </c>
    </row>
    <row r="149" spans="1:21" ht="15" x14ac:dyDescent="0.3">
      <c r="A149" s="6">
        <v>148</v>
      </c>
      <c r="B149" s="6">
        <f t="shared" ca="1" si="70"/>
        <v>0.59155529481537816</v>
      </c>
      <c r="C149" s="9">
        <f t="shared" ca="1" si="71"/>
        <v>400.77443800199745</v>
      </c>
      <c r="D149" s="6">
        <f t="shared" ca="1" si="64"/>
        <v>1.0959433314618239E-2</v>
      </c>
      <c r="E149" s="6" t="str">
        <f ca="1">LOOKUP(RAND(),{0,0.4,0.7,0.9},{"DEPOSIT","WITHDRAWAL","INQUIRY","LOAN"})</f>
        <v>DEPOSIT</v>
      </c>
      <c r="F149" s="6" t="str">
        <f t="shared" ca="1" si="72"/>
        <v>t3</v>
      </c>
      <c r="G149" s="6">
        <f t="shared" ca="1" si="65"/>
        <v>22.567773518348044</v>
      </c>
      <c r="H149" s="6">
        <f t="shared" ca="1" si="73"/>
        <v>403.14445708793937</v>
      </c>
      <c r="I149" s="6">
        <f t="shared" ca="1" si="74"/>
        <v>404.58340814529805</v>
      </c>
      <c r="J149" s="6">
        <f t="shared" ca="1" si="75"/>
        <v>425.12738752756366</v>
      </c>
      <c r="K149" s="9">
        <f t="shared" ca="1" si="76"/>
        <v>402.55961400921564</v>
      </c>
      <c r="L149" s="9">
        <f ca="1">K149+G149</f>
        <v>425.12738752756366</v>
      </c>
      <c r="M149" s="6">
        <f t="shared" ca="1" si="77"/>
        <v>1.7851760072181833</v>
      </c>
      <c r="N149" s="6">
        <f t="shared" ca="1" si="78"/>
        <v>1</v>
      </c>
      <c r="O149" s="6">
        <f ca="1">COUNTIFS($C$2:C148,"&lt;="&amp;C149,$L$2:L148,"&gt;"&amp;C149)</f>
        <v>4</v>
      </c>
      <c r="P149" s="9">
        <f t="shared" ca="1" si="67"/>
        <v>0</v>
      </c>
      <c r="Q149" s="9">
        <f t="shared" ca="1" si="68"/>
        <v>0</v>
      </c>
      <c r="R149" s="9">
        <f t="shared" ca="1" si="69"/>
        <v>0</v>
      </c>
      <c r="S149">
        <f t="shared" ca="1" si="79"/>
        <v>0</v>
      </c>
      <c r="T149">
        <f t="shared" ca="1" si="80"/>
        <v>0</v>
      </c>
      <c r="U149">
        <f t="shared" ca="1" si="81"/>
        <v>22.567773518348044</v>
      </c>
    </row>
    <row r="150" spans="1:21" ht="15" x14ac:dyDescent="0.3">
      <c r="A150" s="6">
        <v>149</v>
      </c>
      <c r="B150" s="6">
        <f t="shared" ca="1" si="70"/>
        <v>0.66004381844827098</v>
      </c>
      <c r="C150" s="9">
        <f t="shared" ca="1" si="71"/>
        <v>401.43448182044574</v>
      </c>
      <c r="D150" s="6">
        <f t="shared" ca="1" si="64"/>
        <v>0.33640213592172241</v>
      </c>
      <c r="E150" s="6" t="str">
        <f ca="1">LOOKUP(RAND(),{0,0.4,0.7,0.9},{"DEPOSIT","WITHDRAWAL","INQUIRY","LOAN"})</f>
        <v>INQUIRY</v>
      </c>
      <c r="F150" s="6" t="str">
        <f t="shared" ca="1" si="72"/>
        <v>t1</v>
      </c>
      <c r="G150" s="6">
        <f t="shared" ca="1" si="65"/>
        <v>4.3577920062094577</v>
      </c>
      <c r="H150" s="6">
        <f t="shared" ca="1" si="73"/>
        <v>407.50224909414885</v>
      </c>
      <c r="I150" s="6">
        <f t="shared" ca="1" si="74"/>
        <v>404.58340814529805</v>
      </c>
      <c r="J150" s="6">
        <f t="shared" ca="1" si="75"/>
        <v>425.12738752756366</v>
      </c>
      <c r="K150" s="9">
        <f t="shared" ca="1" si="76"/>
        <v>403.14445708793937</v>
      </c>
      <c r="L150" s="6">
        <f t="shared" ca="1" si="66"/>
        <v>407.50224909414885</v>
      </c>
      <c r="M150" s="6">
        <f t="shared" ca="1" si="77"/>
        <v>1.7099752674936326</v>
      </c>
      <c r="N150" s="6">
        <f t="shared" ca="1" si="78"/>
        <v>1</v>
      </c>
      <c r="O150" s="6">
        <f ca="1">COUNTIFS($C$2:C149,"&lt;="&amp;C150,$L$2:L149,"&gt;"&amp;C150)</f>
        <v>4</v>
      </c>
      <c r="P150" s="9">
        <f t="shared" ca="1" si="67"/>
        <v>0</v>
      </c>
      <c r="Q150" s="9">
        <f t="shared" ca="1" si="68"/>
        <v>0</v>
      </c>
      <c r="R150" s="9">
        <f t="shared" ca="1" si="69"/>
        <v>0</v>
      </c>
      <c r="S150">
        <f t="shared" ca="1" si="79"/>
        <v>4.3577920062094577</v>
      </c>
      <c r="T150">
        <f t="shared" ca="1" si="80"/>
        <v>0</v>
      </c>
      <c r="U150">
        <f t="shared" ca="1" si="81"/>
        <v>0</v>
      </c>
    </row>
    <row r="151" spans="1:21" ht="15" x14ac:dyDescent="0.3">
      <c r="A151" s="6">
        <v>150</v>
      </c>
      <c r="B151" s="6">
        <f t="shared" ca="1" si="70"/>
        <v>4.9622800290172977</v>
      </c>
      <c r="C151" s="9">
        <f t="shared" ca="1" si="71"/>
        <v>406.39676184946302</v>
      </c>
      <c r="D151" s="6">
        <f t="shared" ca="1" si="64"/>
        <v>0.98584760742118693</v>
      </c>
      <c r="E151" s="6" t="str">
        <f ca="1">LOOKUP(RAND(),{0,0.4,0.7,0.9},{"DEPOSIT","WITHDRAWAL","INQUIRY","LOAN"})</f>
        <v>DEPOSIT</v>
      </c>
      <c r="F151" s="6" t="str">
        <f t="shared" ca="1" si="72"/>
        <v>t2</v>
      </c>
      <c r="G151" s="6">
        <f t="shared" ca="1" si="65"/>
        <v>1</v>
      </c>
      <c r="H151" s="6">
        <f t="shared" ca="1" si="73"/>
        <v>407.50224909414885</v>
      </c>
      <c r="I151" s="6">
        <f t="shared" ca="1" si="74"/>
        <v>407.39676184946302</v>
      </c>
      <c r="J151" s="6">
        <f t="shared" ca="1" si="75"/>
        <v>425.12738752756366</v>
      </c>
      <c r="K151" s="9">
        <f ca="1">IF(M151=0,C151,MIN(H150,I150,J150))</f>
        <v>406.39676184946302</v>
      </c>
      <c r="L151" s="6">
        <f t="shared" ca="1" si="66"/>
        <v>407.39676184946302</v>
      </c>
      <c r="M151" s="6">
        <f t="shared" ca="1" si="77"/>
        <v>0</v>
      </c>
      <c r="N151" s="6">
        <f t="shared" ca="1" si="78"/>
        <v>0</v>
      </c>
      <c r="O151" s="6">
        <f ca="1">COUNTIFS($C$2:C150,"&lt;="&amp;C151,$L$2:L150,"&gt;"&amp;C151)</f>
        <v>2</v>
      </c>
      <c r="P151" s="9">
        <f t="shared" ca="1" si="67"/>
        <v>0</v>
      </c>
      <c r="Q151" s="9">
        <f t="shared" ca="1" si="68"/>
        <v>0</v>
      </c>
      <c r="R151" s="9">
        <f t="shared" ca="1" si="69"/>
        <v>0</v>
      </c>
      <c r="S151">
        <f t="shared" ca="1" si="79"/>
        <v>0</v>
      </c>
      <c r="T151">
        <f t="shared" ca="1" si="80"/>
        <v>1</v>
      </c>
      <c r="U151">
        <f t="shared" ca="1" si="81"/>
        <v>0</v>
      </c>
    </row>
    <row r="152" spans="1:21" ht="15" x14ac:dyDescent="0.3">
      <c r="A152" s="6">
        <v>151</v>
      </c>
      <c r="B152" s="6">
        <f t="shared" ca="1" si="70"/>
        <v>9.0332673723532313</v>
      </c>
      <c r="C152" s="9">
        <f t="shared" ca="1" si="71"/>
        <v>415.43002922181626</v>
      </c>
      <c r="D152" s="6">
        <f t="shared" ca="1" si="64"/>
        <v>2.6119526152005079E-2</v>
      </c>
      <c r="E152" s="6" t="str">
        <f ca="1">LOOKUP(RAND(),{0,0.4,0.7,0.9},{"DEPOSIT","WITHDRAWAL","INQUIRY","LOAN"})</f>
        <v>LOAN</v>
      </c>
      <c r="F152" s="6" t="str">
        <f t="shared" ca="1" si="72"/>
        <v>t2</v>
      </c>
      <c r="G152" s="6">
        <f t="shared" ca="1" si="65"/>
        <v>43.740865391193033</v>
      </c>
      <c r="H152" s="6">
        <f t="shared" ca="1" si="73"/>
        <v>407.50224909414885</v>
      </c>
      <c r="I152" s="6">
        <f t="shared" ca="1" si="74"/>
        <v>459.1708946130093</v>
      </c>
      <c r="J152" s="6">
        <f t="shared" ca="1" si="75"/>
        <v>425.12738752756366</v>
      </c>
      <c r="K152" s="9">
        <f t="shared" ca="1" si="76"/>
        <v>415.43002922181626</v>
      </c>
      <c r="L152" s="6">
        <f t="shared" ca="1" si="66"/>
        <v>459.1708946130093</v>
      </c>
      <c r="M152" s="6">
        <f t="shared" ca="1" si="77"/>
        <v>0</v>
      </c>
      <c r="N152" s="6">
        <f t="shared" ca="1" si="78"/>
        <v>0</v>
      </c>
      <c r="O152" s="6">
        <f ca="1">COUNTIFS($C$2:C151,"&lt;="&amp;C152,$L$2:L151,"&gt;"&amp;C152)</f>
        <v>1</v>
      </c>
      <c r="P152" s="9">
        <f t="shared" ca="1" si="67"/>
        <v>7.927780127667404</v>
      </c>
      <c r="Q152" s="9">
        <f t="shared" ca="1" si="68"/>
        <v>0</v>
      </c>
      <c r="R152" s="9">
        <f t="shared" ca="1" si="69"/>
        <v>0</v>
      </c>
      <c r="S152">
        <f t="shared" ca="1" si="79"/>
        <v>0</v>
      </c>
      <c r="T152">
        <f t="shared" ca="1" si="80"/>
        <v>43.740865391193033</v>
      </c>
      <c r="U152">
        <f t="shared" ca="1" si="81"/>
        <v>0</v>
      </c>
    </row>
    <row r="153" spans="1:21" ht="15" x14ac:dyDescent="0.3">
      <c r="A153" s="6">
        <v>152</v>
      </c>
      <c r="B153" s="6">
        <f t="shared" ca="1" si="70"/>
        <v>0.21120509675926044</v>
      </c>
      <c r="C153" s="9">
        <f t="shared" ca="1" si="71"/>
        <v>415.64123431857553</v>
      </c>
      <c r="D153" s="6">
        <f t="shared" ca="1" si="64"/>
        <v>0.24222860927994683</v>
      </c>
      <c r="E153" s="6" t="str">
        <f ca="1">LOOKUP(RAND(),{0,0.4,0.7,0.9},{"DEPOSIT","WITHDRAWAL","INQUIRY","LOAN"})</f>
        <v>INQUIRY</v>
      </c>
      <c r="F153" s="6" t="str">
        <f t="shared" ca="1" si="72"/>
        <v>t1</v>
      </c>
      <c r="G153" s="6">
        <f t="shared" ca="1" si="65"/>
        <v>5.6714933291837211</v>
      </c>
      <c r="H153" s="6">
        <f t="shared" ca="1" si="73"/>
        <v>421.31272764775923</v>
      </c>
      <c r="I153" s="6">
        <f t="shared" ca="1" si="74"/>
        <v>459.1708946130093</v>
      </c>
      <c r="J153" s="6">
        <f t="shared" ca="1" si="75"/>
        <v>425.12738752756366</v>
      </c>
      <c r="K153" s="9">
        <f t="shared" ca="1" si="76"/>
        <v>415.64123431857553</v>
      </c>
      <c r="L153" s="6">
        <f t="shared" ca="1" si="66"/>
        <v>421.31272764775923</v>
      </c>
      <c r="M153" s="6">
        <f t="shared" ca="1" si="77"/>
        <v>0</v>
      </c>
      <c r="N153" s="6">
        <f t="shared" ca="1" si="78"/>
        <v>0</v>
      </c>
      <c r="O153" s="6">
        <f ca="1">COUNTIFS($C$2:C152,"&lt;="&amp;C153,$L$2:L152,"&gt;"&amp;C153)</f>
        <v>2</v>
      </c>
      <c r="P153" s="9">
        <f t="shared" ca="1" si="67"/>
        <v>0</v>
      </c>
      <c r="Q153" s="9">
        <f t="shared" ca="1" si="68"/>
        <v>0</v>
      </c>
      <c r="R153" s="9">
        <f t="shared" ca="1" si="69"/>
        <v>0</v>
      </c>
      <c r="S153">
        <f t="shared" ca="1" si="79"/>
        <v>5.6714933291837211</v>
      </c>
      <c r="T153">
        <f t="shared" ca="1" si="80"/>
        <v>0</v>
      </c>
      <c r="U153">
        <f t="shared" ca="1" si="81"/>
        <v>0</v>
      </c>
    </row>
    <row r="154" spans="1:21" ht="15" x14ac:dyDescent="0.3">
      <c r="A154" s="6">
        <v>153</v>
      </c>
      <c r="B154" s="6">
        <f t="shared" ca="1" si="70"/>
        <v>0.21245255673175198</v>
      </c>
      <c r="C154" s="9">
        <f t="shared" ca="1" si="71"/>
        <v>415.85368687530729</v>
      </c>
      <c r="D154" s="6">
        <f t="shared" ca="1" si="64"/>
        <v>0.12437017560304453</v>
      </c>
      <c r="E154" s="6" t="str">
        <f ca="1">LOOKUP(RAND(),{0,0.4,0.7,0.9},{"DEPOSIT","WITHDRAWAL","INQUIRY","LOAN"})</f>
        <v>WITHDRAWAL</v>
      </c>
      <c r="F154" s="6" t="str">
        <f t="shared" ca="1" si="72"/>
        <v>t1</v>
      </c>
      <c r="G154" s="6">
        <f t="shared" ca="1" si="65"/>
        <v>12.506957240261686</v>
      </c>
      <c r="H154" s="6">
        <f t="shared" ca="1" si="73"/>
        <v>433.8196848880209</v>
      </c>
      <c r="I154" s="6">
        <f t="shared" ca="1" si="74"/>
        <v>459.1708946130093</v>
      </c>
      <c r="J154" s="6">
        <f t="shared" ca="1" si="75"/>
        <v>425.12738752756366</v>
      </c>
      <c r="K154" s="9">
        <f t="shared" ca="1" si="76"/>
        <v>421.31272764775923</v>
      </c>
      <c r="L154" s="6">
        <f t="shared" ca="1" si="66"/>
        <v>433.8196848880209</v>
      </c>
      <c r="M154" s="6">
        <f t="shared" ca="1" si="77"/>
        <v>5.4590407724519423</v>
      </c>
      <c r="N154" s="6">
        <f t="shared" ca="1" si="78"/>
        <v>1</v>
      </c>
      <c r="O154" s="6">
        <f ca="1">COUNTIFS($C$2:C153,"&lt;="&amp;C154,$L$2:L153,"&gt;"&amp;C154)</f>
        <v>3</v>
      </c>
      <c r="P154" s="9">
        <f t="shared" ca="1" si="67"/>
        <v>0</v>
      </c>
      <c r="Q154" s="9">
        <f t="shared" ca="1" si="68"/>
        <v>0</v>
      </c>
      <c r="R154" s="9">
        <f t="shared" ca="1" si="69"/>
        <v>0</v>
      </c>
      <c r="S154">
        <f t="shared" ca="1" si="79"/>
        <v>12.506957240261686</v>
      </c>
      <c r="T154">
        <f t="shared" ca="1" si="80"/>
        <v>0</v>
      </c>
      <c r="U154">
        <f t="shared" ca="1" si="81"/>
        <v>0</v>
      </c>
    </row>
    <row r="155" spans="1:21" ht="15" x14ac:dyDescent="0.3">
      <c r="A155" s="6">
        <v>154</v>
      </c>
      <c r="B155" s="6">
        <f t="shared" ca="1" si="70"/>
        <v>5.5427003128687033</v>
      </c>
      <c r="C155" s="9">
        <f t="shared" ca="1" si="71"/>
        <v>421.39638718817599</v>
      </c>
      <c r="D155" s="6">
        <f t="shared" ca="1" si="64"/>
        <v>0.17293394029999121</v>
      </c>
      <c r="E155" s="6" t="str">
        <f ca="1">LOOKUP(RAND(),{0,0.4,0.7,0.9},{"DEPOSIT","WITHDRAWAL","INQUIRY","LOAN"})</f>
        <v>INQUIRY</v>
      </c>
      <c r="F155" s="6" t="str">
        <f t="shared" ca="1" si="72"/>
        <v>t3</v>
      </c>
      <c r="G155" s="6">
        <f t="shared" ca="1" si="65"/>
        <v>7.0193824215351617</v>
      </c>
      <c r="H155" s="6">
        <f t="shared" ca="1" si="73"/>
        <v>433.8196848880209</v>
      </c>
      <c r="I155" s="6">
        <f t="shared" ca="1" si="74"/>
        <v>459.1708946130093</v>
      </c>
      <c r="J155" s="6">
        <f t="shared" ca="1" si="75"/>
        <v>432.14676994909883</v>
      </c>
      <c r="K155" s="9">
        <f t="shared" ca="1" si="76"/>
        <v>425.12738752756366</v>
      </c>
      <c r="L155" s="6">
        <f t="shared" ca="1" si="66"/>
        <v>432.14676994909883</v>
      </c>
      <c r="M155" s="6">
        <f t="shared" ca="1" si="77"/>
        <v>3.7310003393876627</v>
      </c>
      <c r="N155" s="6">
        <f t="shared" ca="1" si="78"/>
        <v>1</v>
      </c>
      <c r="O155" s="6">
        <f ca="1">COUNTIFS($C$2:C154,"&lt;="&amp;C155,$L$2:L154,"&gt;"&amp;C155)</f>
        <v>3</v>
      </c>
      <c r="P155" s="9">
        <f t="shared" ca="1" si="67"/>
        <v>0</v>
      </c>
      <c r="Q155" s="9">
        <f t="shared" ca="1" si="68"/>
        <v>0</v>
      </c>
      <c r="R155" s="9">
        <f t="shared" ca="1" si="69"/>
        <v>0</v>
      </c>
      <c r="S155">
        <f t="shared" ca="1" si="79"/>
        <v>0</v>
      </c>
      <c r="T155">
        <f t="shared" ca="1" si="80"/>
        <v>0</v>
      </c>
      <c r="U155">
        <f t="shared" ca="1" si="81"/>
        <v>7.0193824215351617</v>
      </c>
    </row>
    <row r="156" spans="1:21" ht="15" x14ac:dyDescent="0.3">
      <c r="A156" s="6">
        <v>155</v>
      </c>
      <c r="B156" s="6">
        <f t="shared" ca="1" si="70"/>
        <v>2.8647967017689511</v>
      </c>
      <c r="C156" s="9">
        <f t="shared" ca="1" si="71"/>
        <v>424.26118388994496</v>
      </c>
      <c r="D156" s="6">
        <f t="shared" ca="1" si="64"/>
        <v>5.2120255867568077E-2</v>
      </c>
      <c r="E156" s="6" t="str">
        <f ca="1">LOOKUP(RAND(),{0,0.4,0.7,0.9},{"DEPOSIT","WITHDRAWAL","INQUIRY","LOAN"})</f>
        <v>INQUIRY</v>
      </c>
      <c r="F156" s="6" t="str">
        <f t="shared" ca="1" si="72"/>
        <v>t3</v>
      </c>
      <c r="G156" s="6">
        <f t="shared" ca="1" si="65"/>
        <v>11.816806470145254</v>
      </c>
      <c r="H156" s="6">
        <f t="shared" ca="1" si="73"/>
        <v>433.8196848880209</v>
      </c>
      <c r="I156" s="6">
        <f t="shared" ca="1" si="74"/>
        <v>459.1708946130093</v>
      </c>
      <c r="J156" s="6">
        <f t="shared" ca="1" si="75"/>
        <v>443.96357641924408</v>
      </c>
      <c r="K156" s="9">
        <f t="shared" ca="1" si="76"/>
        <v>432.14676994909883</v>
      </c>
      <c r="L156" s="6">
        <f t="shared" ca="1" si="66"/>
        <v>443.96357641924408</v>
      </c>
      <c r="M156" s="6">
        <f t="shared" ca="1" si="77"/>
        <v>7.8855860591538658</v>
      </c>
      <c r="N156" s="6">
        <f t="shared" ca="1" si="78"/>
        <v>1</v>
      </c>
      <c r="O156" s="6">
        <f ca="1">COUNTIFS($C$2:C155,"&lt;="&amp;C156,$L$2:L155,"&gt;"&amp;C156)</f>
        <v>4</v>
      </c>
      <c r="P156" s="9">
        <f t="shared" ca="1" si="67"/>
        <v>0</v>
      </c>
      <c r="Q156" s="9">
        <f t="shared" ca="1" si="68"/>
        <v>0</v>
      </c>
      <c r="R156" s="9">
        <f t="shared" ca="1" si="69"/>
        <v>0</v>
      </c>
      <c r="S156">
        <f t="shared" ca="1" si="79"/>
        <v>0</v>
      </c>
      <c r="T156">
        <f t="shared" ca="1" si="80"/>
        <v>0</v>
      </c>
      <c r="U156">
        <f t="shared" ca="1" si="81"/>
        <v>11.816806470145254</v>
      </c>
    </row>
    <row r="157" spans="1:21" ht="15" x14ac:dyDescent="0.3">
      <c r="A157" s="6">
        <v>156</v>
      </c>
      <c r="B157" s="6">
        <f t="shared" ca="1" si="70"/>
        <v>1.8485484112700246</v>
      </c>
      <c r="C157" s="9">
        <f t="shared" ca="1" si="71"/>
        <v>426.10973230121499</v>
      </c>
      <c r="D157" s="6">
        <f t="shared" ca="1" si="64"/>
        <v>0.29393692804207083</v>
      </c>
      <c r="E157" s="6" t="str">
        <f ca="1">LOOKUP(RAND(),{0,0.4,0.7,0.9},{"DEPOSIT","WITHDRAWAL","INQUIRY","LOAN"})</f>
        <v>WITHDRAWAL</v>
      </c>
      <c r="F157" s="6" t="str">
        <f t="shared" ca="1" si="72"/>
        <v>t1</v>
      </c>
      <c r="G157" s="6">
        <f t="shared" ca="1" si="65"/>
        <v>7.34634039076533</v>
      </c>
      <c r="H157" s="6">
        <f t="shared" ca="1" si="73"/>
        <v>441.16602527878621</v>
      </c>
      <c r="I157" s="6">
        <f t="shared" ca="1" si="74"/>
        <v>459.1708946130093</v>
      </c>
      <c r="J157" s="6">
        <f t="shared" ca="1" si="75"/>
        <v>443.96357641924408</v>
      </c>
      <c r="K157" s="9">
        <f t="shared" ca="1" si="76"/>
        <v>433.8196848880209</v>
      </c>
      <c r="L157" s="6">
        <f t="shared" ca="1" si="66"/>
        <v>441.16602527878621</v>
      </c>
      <c r="M157" s="6">
        <f t="shared" ca="1" si="77"/>
        <v>7.7099525868059118</v>
      </c>
      <c r="N157" s="6">
        <f t="shared" ca="1" si="78"/>
        <v>1</v>
      </c>
      <c r="O157" s="6">
        <f ca="1">COUNTIFS($C$2:C156,"&lt;="&amp;C157,$L$2:L156,"&gt;"&amp;C157)</f>
        <v>4</v>
      </c>
      <c r="P157" s="9">
        <f t="shared" ca="1" si="67"/>
        <v>0</v>
      </c>
      <c r="Q157" s="9">
        <f t="shared" ca="1" si="68"/>
        <v>0</v>
      </c>
      <c r="R157" s="9">
        <f t="shared" ca="1" si="69"/>
        <v>0</v>
      </c>
      <c r="S157">
        <f t="shared" ca="1" si="79"/>
        <v>7.34634039076533</v>
      </c>
      <c r="T157">
        <f t="shared" ca="1" si="80"/>
        <v>0</v>
      </c>
      <c r="U157">
        <f t="shared" ca="1" si="81"/>
        <v>0</v>
      </c>
    </row>
    <row r="158" spans="1:21" ht="15" x14ac:dyDescent="0.3">
      <c r="A158" s="6">
        <v>157</v>
      </c>
      <c r="B158" s="6">
        <f t="shared" ca="1" si="70"/>
        <v>14.710840318268195</v>
      </c>
      <c r="C158" s="9">
        <f t="shared" ca="1" si="71"/>
        <v>440.82057261948319</v>
      </c>
      <c r="D158" s="6">
        <f t="shared" ca="1" si="64"/>
        <v>0.8283701515217663</v>
      </c>
      <c r="E158" s="6" t="str">
        <f ca="1">LOOKUP(RAND(),{0,0.4,0.7,0.9},{"DEPOSIT","WITHDRAWAL","INQUIRY","LOAN"})</f>
        <v>DEPOSIT</v>
      </c>
      <c r="F158" s="6" t="str">
        <f t="shared" ca="1" si="72"/>
        <v>t1</v>
      </c>
      <c r="G158" s="6">
        <f t="shared" ca="1" si="65"/>
        <v>1</v>
      </c>
      <c r="H158" s="6">
        <f t="shared" ca="1" si="73"/>
        <v>442.16602527878621</v>
      </c>
      <c r="I158" s="6">
        <f t="shared" ca="1" si="74"/>
        <v>459.1708946130093</v>
      </c>
      <c r="J158" s="6">
        <f t="shared" ca="1" si="75"/>
        <v>443.96357641924408</v>
      </c>
      <c r="K158" s="9">
        <f t="shared" ca="1" si="76"/>
        <v>441.16602527878621</v>
      </c>
      <c r="L158" s="6">
        <f t="shared" ca="1" si="66"/>
        <v>442.16602527878621</v>
      </c>
      <c r="M158" s="6">
        <f t="shared" ca="1" si="77"/>
        <v>0.34545265930302094</v>
      </c>
      <c r="N158" s="6">
        <f t="shared" ca="1" si="78"/>
        <v>1</v>
      </c>
      <c r="O158" s="6">
        <f ca="1">COUNTIFS($C$2:C157,"&lt;="&amp;C158,$L$2:L157,"&gt;"&amp;C158)</f>
        <v>3</v>
      </c>
      <c r="P158" s="9">
        <f t="shared" ca="1" si="67"/>
        <v>0</v>
      </c>
      <c r="Q158" s="9">
        <f t="shared" ca="1" si="68"/>
        <v>0</v>
      </c>
      <c r="R158" s="9">
        <f t="shared" ca="1" si="69"/>
        <v>0</v>
      </c>
      <c r="S158">
        <f t="shared" ca="1" si="79"/>
        <v>1</v>
      </c>
      <c r="T158">
        <f t="shared" ca="1" si="80"/>
        <v>0</v>
      </c>
      <c r="U158">
        <f t="shared" ca="1" si="81"/>
        <v>0</v>
      </c>
    </row>
    <row r="159" spans="1:21" ht="15" x14ac:dyDescent="0.3">
      <c r="A159" s="6">
        <v>158</v>
      </c>
      <c r="B159" s="6">
        <f t="shared" ca="1" si="70"/>
        <v>0.13417880733408477</v>
      </c>
      <c r="C159" s="9">
        <f t="shared" ca="1" si="71"/>
        <v>440.95475142681727</v>
      </c>
      <c r="D159" s="6">
        <f t="shared" ca="1" si="64"/>
        <v>0.32432275744883143</v>
      </c>
      <c r="E159" s="6" t="str">
        <f ca="1">LOOKUP(RAND(),{0,0.4,0.7,0.9},{"DEPOSIT","WITHDRAWAL","INQUIRY","LOAN"})</f>
        <v>WITHDRAWAL</v>
      </c>
      <c r="F159" s="6" t="str">
        <f t="shared" ca="1" si="72"/>
        <v>t1</v>
      </c>
      <c r="G159" s="6">
        <f t="shared" ca="1" si="65"/>
        <v>6.7560965644039843</v>
      </c>
      <c r="H159" s="6">
        <f t="shared" ca="1" si="73"/>
        <v>448.92212184319021</v>
      </c>
      <c r="I159" s="6">
        <f t="shared" ca="1" si="74"/>
        <v>459.1708946130093</v>
      </c>
      <c r="J159" s="6">
        <f t="shared" ca="1" si="75"/>
        <v>443.96357641924408</v>
      </c>
      <c r="K159" s="9">
        <f t="shared" ca="1" si="76"/>
        <v>442.16602527878621</v>
      </c>
      <c r="L159" s="6">
        <f t="shared" ca="1" si="66"/>
        <v>448.92212184319021</v>
      </c>
      <c r="M159" s="6">
        <f t="shared" ca="1" si="77"/>
        <v>1.2112738519689401</v>
      </c>
      <c r="N159" s="6">
        <f t="shared" ca="1" si="78"/>
        <v>1</v>
      </c>
      <c r="O159" s="6">
        <f ca="1">COUNTIFS($C$2:C158,"&lt;="&amp;C159,$L$2:L158,"&gt;"&amp;C159)</f>
        <v>4</v>
      </c>
      <c r="P159" s="9">
        <f t="shared" ca="1" si="67"/>
        <v>0</v>
      </c>
      <c r="Q159" s="9">
        <f t="shared" ca="1" si="68"/>
        <v>0</v>
      </c>
      <c r="R159" s="9">
        <f t="shared" ca="1" si="69"/>
        <v>0</v>
      </c>
      <c r="S159">
        <f t="shared" ca="1" si="79"/>
        <v>6.7560965644039843</v>
      </c>
      <c r="T159">
        <f t="shared" ca="1" si="80"/>
        <v>0</v>
      </c>
      <c r="U159">
        <f t="shared" ca="1" si="81"/>
        <v>0</v>
      </c>
    </row>
    <row r="160" spans="1:21" ht="15" x14ac:dyDescent="0.3">
      <c r="A160" s="6">
        <v>159</v>
      </c>
      <c r="B160" s="6">
        <f t="shared" ca="1" si="70"/>
        <v>2.0696096118438838</v>
      </c>
      <c r="C160" s="9">
        <f t="shared" ca="1" si="71"/>
        <v>443.02436103866114</v>
      </c>
      <c r="D160" s="6">
        <f t="shared" ca="1" si="64"/>
        <v>0.92100624959863131</v>
      </c>
      <c r="E160" s="6" t="str">
        <f ca="1">LOOKUP(RAND(),{0,0.4,0.7,0.9},{"DEPOSIT","WITHDRAWAL","INQUIRY","LOAN"})</f>
        <v>WITHDRAWAL</v>
      </c>
      <c r="F160" s="6" t="str">
        <f t="shared" ca="1" si="72"/>
        <v>t3</v>
      </c>
      <c r="G160" s="6">
        <f t="shared" ca="1" si="65"/>
        <v>1</v>
      </c>
      <c r="H160" s="6">
        <f t="shared" ca="1" si="73"/>
        <v>448.92212184319021</v>
      </c>
      <c r="I160" s="6">
        <f t="shared" ca="1" si="74"/>
        <v>459.1708946130093</v>
      </c>
      <c r="J160" s="6">
        <f t="shared" ca="1" si="75"/>
        <v>444.96357641924408</v>
      </c>
      <c r="K160" s="9">
        <f t="shared" ca="1" si="76"/>
        <v>443.96357641924408</v>
      </c>
      <c r="L160" s="6">
        <f t="shared" ca="1" si="66"/>
        <v>444.96357641924408</v>
      </c>
      <c r="M160" s="6">
        <f t="shared" ca="1" si="77"/>
        <v>0.93921538058293663</v>
      </c>
      <c r="N160" s="6">
        <f t="shared" ca="1" si="78"/>
        <v>1</v>
      </c>
      <c r="O160" s="6">
        <f ca="1">COUNTIFS($C$2:C159,"&lt;="&amp;C160,$L$2:L159,"&gt;"&amp;C160)</f>
        <v>3</v>
      </c>
      <c r="P160" s="9">
        <f t="shared" ca="1" si="67"/>
        <v>0</v>
      </c>
      <c r="Q160" s="9">
        <f t="shared" ca="1" si="68"/>
        <v>0</v>
      </c>
      <c r="R160" s="9">
        <f t="shared" ca="1" si="69"/>
        <v>0</v>
      </c>
      <c r="S160">
        <f t="shared" ca="1" si="79"/>
        <v>0</v>
      </c>
      <c r="T160">
        <f t="shared" ca="1" si="80"/>
        <v>0</v>
      </c>
      <c r="U160">
        <f t="shared" ca="1" si="81"/>
        <v>1</v>
      </c>
    </row>
    <row r="161" spans="1:22" ht="15" x14ac:dyDescent="0.3">
      <c r="A161" s="6">
        <v>160</v>
      </c>
      <c r="B161" s="6">
        <f t="shared" ca="1" si="70"/>
        <v>1.2579150637174785</v>
      </c>
      <c r="C161" s="9">
        <f t="shared" ca="1" si="71"/>
        <v>444.2822761023786</v>
      </c>
      <c r="D161" s="6">
        <f t="shared" ca="1" si="64"/>
        <v>0.64014301708175891</v>
      </c>
      <c r="E161" s="6" t="str">
        <f ca="1">LOOKUP(RAND(),{0,0.4,0.7,0.9},{"DEPOSIT","WITHDRAWAL","INQUIRY","LOAN"})</f>
        <v>WITHDRAWAL</v>
      </c>
      <c r="F161" s="6" t="str">
        <f t="shared" ca="1" si="72"/>
        <v>t3</v>
      </c>
      <c r="G161" s="6">
        <f t="shared" ca="1" si="65"/>
        <v>2.6763819804154463</v>
      </c>
      <c r="H161" s="6">
        <f t="shared" ca="1" si="73"/>
        <v>448.92212184319021</v>
      </c>
      <c r="I161" s="6">
        <f t="shared" ca="1" si="74"/>
        <v>459.1708946130093</v>
      </c>
      <c r="J161" s="6">
        <f t="shared" ca="1" si="75"/>
        <v>447.63995839965952</v>
      </c>
      <c r="K161" s="9">
        <f t="shared" ca="1" si="76"/>
        <v>444.96357641924408</v>
      </c>
      <c r="L161" s="6">
        <f t="shared" ca="1" si="66"/>
        <v>447.63995839965952</v>
      </c>
      <c r="M161" s="6">
        <f t="shared" ca="1" si="77"/>
        <v>0.68130031686547454</v>
      </c>
      <c r="N161" s="6">
        <f t="shared" ca="1" si="78"/>
        <v>1</v>
      </c>
      <c r="O161" s="6">
        <f ca="1">COUNTIFS($C$2:C160,"&lt;="&amp;C161,$L$2:L160,"&gt;"&amp;C161)</f>
        <v>3</v>
      </c>
      <c r="P161" s="9">
        <f t="shared" ca="1" si="67"/>
        <v>0</v>
      </c>
      <c r="Q161" s="9">
        <f t="shared" ca="1" si="68"/>
        <v>0</v>
      </c>
      <c r="R161" s="9">
        <f t="shared" ca="1" si="69"/>
        <v>0</v>
      </c>
      <c r="S161">
        <f t="shared" ca="1" si="79"/>
        <v>0</v>
      </c>
      <c r="T161">
        <f t="shared" ca="1" si="80"/>
        <v>0</v>
      </c>
      <c r="U161">
        <f t="shared" ca="1" si="81"/>
        <v>2.6763819804154463</v>
      </c>
    </row>
    <row r="162" spans="1:22" ht="15" x14ac:dyDescent="0.3">
      <c r="B162" s="6">
        <f ca="1">SUM(B3:B161)</f>
        <v>444.2822761023786</v>
      </c>
      <c r="G162" s="6">
        <f ca="1">SUM(G2:G161)</f>
        <v>944.94682665982691</v>
      </c>
      <c r="M162" s="6">
        <f ca="1">SUM(M2:M161)</f>
        <v>188.36806085821476</v>
      </c>
      <c r="N162" s="6">
        <f ca="1">SUM(N2:N161)</f>
        <v>63</v>
      </c>
      <c r="O162" s="6"/>
      <c r="P162" s="9"/>
      <c r="Q162" s="9"/>
      <c r="R162" s="9"/>
      <c r="S162" s="9">
        <f ca="1">SUM(S2:S161)</f>
        <v>322.15571643888683</v>
      </c>
      <c r="T162" s="9">
        <f ca="1">SUM(T2:T161)</f>
        <v>294.50256019979884</v>
      </c>
      <c r="U162">
        <f ca="1">SUM(U2:U161)</f>
        <v>328.28855002114079</v>
      </c>
      <c r="V162" t="s">
        <v>41</v>
      </c>
    </row>
    <row r="163" spans="1:22" ht="15" x14ac:dyDescent="0.3">
      <c r="B163">
        <f ca="1">B162/160</f>
        <v>2.7767642256398664</v>
      </c>
      <c r="G163" s="6">
        <f ca="1">G162/160</f>
        <v>5.9059176666239184</v>
      </c>
      <c r="M163" s="6">
        <f ca="1">M162/L161</f>
        <v>0.42080260558427851</v>
      </c>
      <c r="N163">
        <f ca="1">N162/160</f>
        <v>0.39374999999999999</v>
      </c>
      <c r="O163" s="6"/>
      <c r="Q163" s="9"/>
      <c r="S163">
        <f ca="1">S162/L161</f>
        <v>0.71967595920304661</v>
      </c>
      <c r="T163">
        <f ca="1">T162/L161</f>
        <v>0.65790051731008037</v>
      </c>
      <c r="U163">
        <f ca="1">U162/L161</f>
        <v>0.73337633037674432</v>
      </c>
      <c r="V163" t="s">
        <v>42</v>
      </c>
    </row>
    <row r="164" spans="1:22" x14ac:dyDescent="0.25">
      <c r="M164">
        <f ca="1">MAX(M2:M161)</f>
        <v>10.369611615239762</v>
      </c>
      <c r="V164" t="s">
        <v>44</v>
      </c>
    </row>
    <row r="165" spans="1:22" x14ac:dyDescent="0.25">
      <c r="S165" s="12">
        <f ca="1">S162/L161</f>
        <v>0.71967595920304661</v>
      </c>
      <c r="T165" s="12">
        <f ca="1">T162/L161</f>
        <v>0.65790051731008037</v>
      </c>
      <c r="U165" s="12">
        <f ca="1">U162/L161</f>
        <v>0.73337633037674432</v>
      </c>
      <c r="V165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B11" sqref="B11"/>
    </sheetView>
  </sheetViews>
  <sheetFormatPr defaultColWidth="9" defaultRowHeight="14.4" x14ac:dyDescent="0.25"/>
  <cols>
    <col min="1" max="1" width="43.88671875" customWidth="1"/>
    <col min="2" max="2" width="27.33203125" customWidth="1"/>
  </cols>
  <sheetData>
    <row r="1" spans="1:4" ht="28.8" x14ac:dyDescent="0.25">
      <c r="A1" s="10" t="s">
        <v>22</v>
      </c>
      <c r="B1" s="10" t="s">
        <v>27</v>
      </c>
      <c r="C1" s="10" t="s">
        <v>28</v>
      </c>
      <c r="D1" s="10" t="s">
        <v>29</v>
      </c>
    </row>
    <row r="2" spans="1:4" x14ac:dyDescent="0.25">
      <c r="A2" s="11" t="s">
        <v>23</v>
      </c>
      <c r="B2" s="11">
        <v>3</v>
      </c>
      <c r="C2" s="11">
        <v>4</v>
      </c>
      <c r="D2" s="11">
        <v>3</v>
      </c>
    </row>
    <row r="3" spans="1:4" x14ac:dyDescent="0.25">
      <c r="A3" s="11" t="s">
        <v>30</v>
      </c>
      <c r="B3" s="11">
        <v>20</v>
      </c>
      <c r="C3" s="11">
        <v>20</v>
      </c>
      <c r="D3" s="11">
        <v>25</v>
      </c>
    </row>
    <row r="4" spans="1:4" x14ac:dyDescent="0.25">
      <c r="A4" s="11" t="s">
        <v>24</v>
      </c>
      <c r="B4" s="11" t="s">
        <v>31</v>
      </c>
      <c r="C4" s="11" t="s">
        <v>31</v>
      </c>
      <c r="D4" s="11" t="s">
        <v>31</v>
      </c>
    </row>
    <row r="5" spans="1:4" x14ac:dyDescent="0.25">
      <c r="A5" s="11" t="s">
        <v>32</v>
      </c>
      <c r="B5" s="11" t="s">
        <v>33</v>
      </c>
      <c r="C5" s="11" t="s">
        <v>33</v>
      </c>
      <c r="D5" s="11" t="s">
        <v>33</v>
      </c>
    </row>
    <row r="6" spans="1:4" x14ac:dyDescent="0.25">
      <c r="A6" s="11" t="s">
        <v>34</v>
      </c>
      <c r="B6" s="11" t="s">
        <v>35</v>
      </c>
      <c r="C6" s="11" t="s">
        <v>35</v>
      </c>
      <c r="D6" s="11" t="s">
        <v>35</v>
      </c>
    </row>
    <row r="7" spans="1:4" x14ac:dyDescent="0.25">
      <c r="A7" s="11" t="s">
        <v>36</v>
      </c>
      <c r="B7" s="11" t="s">
        <v>37</v>
      </c>
      <c r="C7" s="11" t="s">
        <v>37</v>
      </c>
      <c r="D7" s="11" t="s">
        <v>37</v>
      </c>
    </row>
    <row r="8" spans="1:4" x14ac:dyDescent="0.25">
      <c r="A8" s="11" t="s">
        <v>38</v>
      </c>
      <c r="B8" s="11" t="s">
        <v>39</v>
      </c>
      <c r="C8" s="11" t="s">
        <v>39</v>
      </c>
      <c r="D8" s="11" t="s">
        <v>39</v>
      </c>
    </row>
    <row r="9" spans="1:4" x14ac:dyDescent="0.25">
      <c r="A9" s="11" t="s">
        <v>40</v>
      </c>
      <c r="B9" s="11">
        <v>480</v>
      </c>
      <c r="C9" s="11">
        <v>480</v>
      </c>
      <c r="D9" s="11">
        <v>480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34D12-0EB2-4425-9C98-3C38A9717148}">
  <dimension ref="A1:L38"/>
  <sheetViews>
    <sheetView zoomScale="81" workbookViewId="0">
      <selection activeCell="B11" sqref="B11"/>
    </sheetView>
  </sheetViews>
  <sheetFormatPr defaultRowHeight="14.4" x14ac:dyDescent="0.25"/>
  <sheetData>
    <row r="1" spans="1:2" x14ac:dyDescent="0.25">
      <c r="A1" t="s">
        <v>64</v>
      </c>
      <c r="B1" t="s">
        <v>67</v>
      </c>
    </row>
    <row r="2" spans="1:2" x14ac:dyDescent="0.25">
      <c r="A2" t="s">
        <v>54</v>
      </c>
      <c r="B2">
        <f ca="1">summary!B2</f>
        <v>2.4495102505967896</v>
      </c>
    </row>
    <row r="3" spans="1:2" x14ac:dyDescent="0.25">
      <c r="A3" t="s">
        <v>65</v>
      </c>
      <c r="B3">
        <f ca="1">summary!C2</f>
        <v>0.58534962144056923</v>
      </c>
    </row>
    <row r="4" spans="1:2" x14ac:dyDescent="0.25">
      <c r="A4" t="s">
        <v>66</v>
      </c>
      <c r="B4">
        <f ca="1">summary!D2</f>
        <v>1.1773003803638422</v>
      </c>
    </row>
    <row r="19" spans="5:12" x14ac:dyDescent="0.25">
      <c r="E19" t="s">
        <v>68</v>
      </c>
      <c r="L19" t="s">
        <v>63</v>
      </c>
    </row>
    <row r="38" spans="5:11" x14ac:dyDescent="0.25">
      <c r="E38" t="s">
        <v>69</v>
      </c>
      <c r="K38" t="s">
        <v>70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2A52C-1F60-47EF-9EFC-A799C6EFEEDE}">
  <dimension ref="A1:D6"/>
  <sheetViews>
    <sheetView zoomScale="134" workbookViewId="0">
      <selection activeCell="B10" sqref="B10"/>
    </sheetView>
  </sheetViews>
  <sheetFormatPr defaultRowHeight="14.4" x14ac:dyDescent="0.25"/>
  <cols>
    <col min="1" max="1" width="43.44140625" customWidth="1"/>
    <col min="2" max="2" width="32.88671875" customWidth="1"/>
    <col min="3" max="3" width="32.77734375" customWidth="1"/>
    <col min="4" max="4" width="29.109375" customWidth="1"/>
  </cols>
  <sheetData>
    <row r="1" spans="1:4" x14ac:dyDescent="0.25">
      <c r="A1" t="s">
        <v>53</v>
      </c>
      <c r="B1" t="s">
        <v>56</v>
      </c>
      <c r="C1" t="s">
        <v>57</v>
      </c>
      <c r="D1" t="s">
        <v>58</v>
      </c>
    </row>
    <row r="2" spans="1:4" x14ac:dyDescent="0.25">
      <c r="A2" t="s">
        <v>55</v>
      </c>
      <c r="B2">
        <f ca="1">AVERAGE(BaseCase_simulation!M2:M161)</f>
        <v>2.4495102505967896</v>
      </c>
      <c r="C2">
        <f ca="1">AVERAGE(Scenario_A!N2:N151)</f>
        <v>0.58534962144056923</v>
      </c>
      <c r="D2">
        <f ca="1">AVERAGE(Scenario_B!M2:M161)</f>
        <v>1.1773003803638422</v>
      </c>
    </row>
    <row r="3" spans="1:4" x14ac:dyDescent="0.25">
      <c r="A3" t="s">
        <v>59</v>
      </c>
      <c r="B3">
        <f ca="1">MAX(BaseCase_simulation!M2:M161)</f>
        <v>17.23103990364827</v>
      </c>
      <c r="C3">
        <f ca="1">MAX(Scenario_A!N2:N151)</f>
        <v>8.8072326566710899</v>
      </c>
      <c r="D3">
        <f ca="1">MAX(Scenario_B!M2:M161)</f>
        <v>10.369611615239762</v>
      </c>
    </row>
    <row r="4" spans="1:4" x14ac:dyDescent="0.25">
      <c r="A4" t="s">
        <v>60</v>
      </c>
      <c r="B4">
        <f ca="1">AVERAGE(BaseCase_simulation!O2:O161)</f>
        <v>3</v>
      </c>
      <c r="C4">
        <f ca="1">AVERAGE(Scenario_A!P2:P151)</f>
        <v>2</v>
      </c>
      <c r="D4">
        <f ca="1">AVERAGE(Scenario_B!O2:O161)</f>
        <v>2.35</v>
      </c>
    </row>
    <row r="5" spans="1:4" x14ac:dyDescent="0.25">
      <c r="A5" t="s">
        <v>61</v>
      </c>
      <c r="B5" s="14">
        <f ca="1">(AVERAGE(BaseCase_simulation!S2:S161)+AVERAGE(BaseCase_simulation!T2:T161)+AVERAGE(BaseCase_simulation!U2:U161))/100</f>
        <v>5.9360526077090608E-2</v>
      </c>
      <c r="C5" s="14">
        <f ca="1">(AVERAGE(Scenario_A!U2:U151)+AVERAGE(Scenario_A!V2:V151)+AVERAGE(Scenario_A!W2:W151)+AVERAGE(Scenario_A!X2:X151))/100</f>
        <v>5.5897018044427267E-2</v>
      </c>
      <c r="D5" s="14">
        <f ca="1">(AVERAGE(Scenario_B!S2:S161)+AVERAGE(Scenario_B!T2:T161)+AVERAGE(Scenario_B!U2:U161))/100</f>
        <v>5.9059176666239159E-2</v>
      </c>
    </row>
    <row r="6" spans="1:4" x14ac:dyDescent="0.25">
      <c r="A6" t="s">
        <v>62</v>
      </c>
      <c r="B6">
        <f ca="1">COUNT(BaseCase_simulation!G2:G161)</f>
        <v>160</v>
      </c>
      <c r="C6">
        <f ca="1">COUNT(Scenario_A!G2:G151)</f>
        <v>150</v>
      </c>
      <c r="D6">
        <f ca="1">COUNT(Scenario_B!G2:G161)</f>
        <v>160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BaseCase_simulation</vt:lpstr>
      <vt:lpstr>Scenario_A</vt:lpstr>
      <vt:lpstr>Scenario_B</vt:lpstr>
      <vt:lpstr>parameters</vt:lpstr>
      <vt:lpstr>charts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منال رمضان ابراهيم بنات</dc:creator>
  <cp:lastModifiedBy>منال رمضان ابراهيم بنات</cp:lastModifiedBy>
  <dcterms:created xsi:type="dcterms:W3CDTF">2025-12-25T13:48:00Z</dcterms:created>
  <dcterms:modified xsi:type="dcterms:W3CDTF">2026-08-25T21:17:56Z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4e309d-6359-4367-9d03-e248bac620e6_Enabled">
    <vt:lpwstr>true</vt:lpwstr>
  </property>
  <property fmtid="{D5CDD505-2E9C-101B-9397-08002B2CF9AE}" pid="3" name="MSIP_Label_284e309d-6359-4367-9d03-e248bac620e6_SetDate">
    <vt:lpwstr>2025-12-25T21:04:49Z</vt:lpwstr>
  </property>
  <property fmtid="{D5CDD505-2E9C-101B-9397-08002B2CF9AE}" pid="4" name="MSIP_Label_284e309d-6359-4367-9d03-e248bac620e6_Method">
    <vt:lpwstr>Standard</vt:lpwstr>
  </property>
  <property fmtid="{D5CDD505-2E9C-101B-9397-08002B2CF9AE}" pid="5" name="MSIP_Label_284e309d-6359-4367-9d03-e248bac620e6_Name">
    <vt:lpwstr>defa4170-0d19-0005-0004-bc88714345d2</vt:lpwstr>
  </property>
  <property fmtid="{D5CDD505-2E9C-101B-9397-08002B2CF9AE}" pid="6" name="MSIP_Label_284e309d-6359-4367-9d03-e248bac620e6_SiteId">
    <vt:lpwstr>4bf7cbc0-71a9-4cae-9625-6dc374768c3e</vt:lpwstr>
  </property>
  <property fmtid="{D5CDD505-2E9C-101B-9397-08002B2CF9AE}" pid="7" name="MSIP_Label_284e309d-6359-4367-9d03-e248bac620e6_ActionId">
    <vt:lpwstr>b8770e74-c2b8-499d-8a3a-c1f856a14168</vt:lpwstr>
  </property>
  <property fmtid="{D5CDD505-2E9C-101B-9397-08002B2CF9AE}" pid="8" name="MSIP_Label_284e309d-6359-4367-9d03-e248bac620e6_ContentBits">
    <vt:lpwstr>0</vt:lpwstr>
  </property>
  <property fmtid="{D5CDD505-2E9C-101B-9397-08002B2CF9AE}" pid="9" name="MSIP_Label_284e309d-6359-4367-9d03-e248bac620e6_Tag">
    <vt:lpwstr>10, 3, 0, 1</vt:lpwstr>
  </property>
  <property fmtid="{D5CDD505-2E9C-101B-9397-08002B2CF9AE}" pid="10" name="ICV">
    <vt:lpwstr>41A21DD993924A7DA0E2EE8D9DF135C6_12</vt:lpwstr>
  </property>
  <property fmtid="{D5CDD505-2E9C-101B-9397-08002B2CF9AE}" pid="11" name="KSOProductBuildVer">
    <vt:lpwstr>1033-12.2.0.23196</vt:lpwstr>
  </property>
</Properties>
</file>